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cultate\LABORATOARE AN\"/>
    </mc:Choice>
  </mc:AlternateContent>
  <xr:revisionPtr revIDLastSave="0" documentId="13_ncr:1_{A1F3458B-43F5-47F6-B064-7FC49A4EE842}" xr6:coauthVersionLast="46" xr6:coauthVersionMax="46" xr10:uidLastSave="{00000000-0000-0000-0000-000000000000}"/>
  <bookViews>
    <workbookView xWindow="-120" yWindow="-120" windowWidth="29040" windowHeight="15840" tabRatio="760" firstSheet="24" activeTab="40" xr2:uid="{DC710939-B0C8-42D3-A5C3-AA357CE8046A}"/>
  </bookViews>
  <sheets>
    <sheet name="Dimensiuni principale" sheetId="28" r:id="rId1"/>
    <sheet name="Abscisele cuplelor, c.p, o.l" sheetId="27" r:id="rId2"/>
    <sheet name="Trasaj" sheetId="29" r:id="rId3"/>
    <sheet name="Linia Puntii" sheetId="2" r:id="rId4"/>
    <sheet name="Extremitatile plutirilor" sheetId="4" r:id="rId5"/>
    <sheet name="WL0" sheetId="31" r:id="rId6"/>
    <sheet name="WL1" sheetId="32" r:id="rId7"/>
    <sheet name="WL2" sheetId="33" r:id="rId8"/>
    <sheet name="WL3" sheetId="34" r:id="rId9"/>
    <sheet name="WL4" sheetId="35" r:id="rId10"/>
    <sheet name="WL5" sheetId="36" r:id="rId11"/>
    <sheet name="WL6" sheetId="37" r:id="rId12"/>
    <sheet name="WL7" sheetId="38" r:id="rId13"/>
    <sheet name="WL8" sheetId="39" r:id="rId14"/>
    <sheet name="WL9" sheetId="40" r:id="rId15"/>
    <sheet name="WL10" sheetId="41" r:id="rId16"/>
    <sheet name="WL11" sheetId="42" r:id="rId17"/>
    <sheet name="Volum" sheetId="6" r:id="rId18"/>
    <sheet name="Centralizator carene drepte" sheetId="30" r:id="rId19"/>
    <sheet name="Cupla0" sheetId="51" r:id="rId20"/>
    <sheet name="Cupla1" sheetId="52" r:id="rId21"/>
    <sheet name="Cupla2" sheetId="53" r:id="rId22"/>
    <sheet name="Cupla3" sheetId="54" r:id="rId23"/>
    <sheet name="Cupla4" sheetId="55" r:id="rId24"/>
    <sheet name="Cupla5" sheetId="56" r:id="rId25"/>
    <sheet name="Cupla6" sheetId="57" r:id="rId26"/>
    <sheet name="Cupla7" sheetId="58" r:id="rId27"/>
    <sheet name="Cupla8" sheetId="59" r:id="rId28"/>
    <sheet name="Cupla9" sheetId="60" r:id="rId29"/>
    <sheet name="Cupla10" sheetId="43" r:id="rId30"/>
    <sheet name="Cupla11" sheetId="61" r:id="rId31"/>
    <sheet name="Cupla12" sheetId="62" r:id="rId32"/>
    <sheet name="Cupla13" sheetId="63" r:id="rId33"/>
    <sheet name="Cupla14" sheetId="64" r:id="rId34"/>
    <sheet name="Cupla15" sheetId="65" r:id="rId35"/>
    <sheet name="Cupla16" sheetId="66" r:id="rId36"/>
    <sheet name="Cupla17" sheetId="67" r:id="rId37"/>
    <sheet name="Cupla18" sheetId="68" r:id="rId38"/>
    <sheet name="Cupla19" sheetId="69" r:id="rId39"/>
    <sheet name="Cupla20" sheetId="70" r:id="rId40"/>
    <sheet name="Coeficienti de finete" sheetId="71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9" l="1"/>
  <c r="F3" i="34"/>
  <c r="N3" i="33"/>
  <c r="H4" i="71"/>
  <c r="H5" i="71"/>
  <c r="H6" i="71"/>
  <c r="H7" i="71"/>
  <c r="H8" i="71"/>
  <c r="H9" i="71"/>
  <c r="H10" i="71"/>
  <c r="H11" i="71"/>
  <c r="H12" i="71"/>
  <c r="H13" i="71"/>
  <c r="H3" i="71"/>
  <c r="G4" i="71"/>
  <c r="G5" i="71"/>
  <c r="I5" i="71" s="1"/>
  <c r="G6" i="71"/>
  <c r="G7" i="71"/>
  <c r="G8" i="71"/>
  <c r="G9" i="71"/>
  <c r="I9" i="71" s="1"/>
  <c r="G10" i="71"/>
  <c r="G11" i="71"/>
  <c r="G12" i="71"/>
  <c r="G13" i="71"/>
  <c r="I13" i="71" s="1"/>
  <c r="G3" i="71"/>
  <c r="F2" i="71"/>
  <c r="F3" i="71"/>
  <c r="F5" i="71"/>
  <c r="F6" i="71"/>
  <c r="F7" i="71"/>
  <c r="F8" i="71"/>
  <c r="F9" i="71"/>
  <c r="F10" i="71"/>
  <c r="F11" i="71"/>
  <c r="F12" i="71"/>
  <c r="F13" i="71"/>
  <c r="F4" i="71"/>
  <c r="M36" i="30"/>
  <c r="N36" i="30" s="1"/>
  <c r="O36" i="30" s="1"/>
  <c r="I36" i="30"/>
  <c r="J36" i="30" s="1"/>
  <c r="K36" i="30" s="1"/>
  <c r="E36" i="30"/>
  <c r="F36" i="30" s="1"/>
  <c r="M35" i="30"/>
  <c r="N35" i="30" s="1"/>
  <c r="O35" i="30" s="1"/>
  <c r="I35" i="30"/>
  <c r="J35" i="30" s="1"/>
  <c r="K35" i="30" s="1"/>
  <c r="F35" i="30"/>
  <c r="E35" i="30"/>
  <c r="C35" i="30"/>
  <c r="M34" i="30"/>
  <c r="N34" i="30" s="1"/>
  <c r="O34" i="30" s="1"/>
  <c r="I34" i="30"/>
  <c r="J34" i="30" s="1"/>
  <c r="K34" i="30" s="1"/>
  <c r="F34" i="30"/>
  <c r="E34" i="30"/>
  <c r="C34" i="30"/>
  <c r="M33" i="30"/>
  <c r="N33" i="30" s="1"/>
  <c r="O33" i="30" s="1"/>
  <c r="I33" i="30"/>
  <c r="J33" i="30" s="1"/>
  <c r="K33" i="30" s="1"/>
  <c r="F33" i="30"/>
  <c r="E33" i="30"/>
  <c r="C33" i="30"/>
  <c r="M32" i="30"/>
  <c r="N32" i="30" s="1"/>
  <c r="O32" i="30" s="1"/>
  <c r="I32" i="30"/>
  <c r="J32" i="30" s="1"/>
  <c r="K32" i="30" s="1"/>
  <c r="F32" i="30"/>
  <c r="E32" i="30"/>
  <c r="C32" i="30"/>
  <c r="M31" i="30"/>
  <c r="N31" i="30" s="1"/>
  <c r="O31" i="30" s="1"/>
  <c r="K31" i="30"/>
  <c r="J31" i="30"/>
  <c r="I31" i="30"/>
  <c r="F31" i="30"/>
  <c r="E31" i="30"/>
  <c r="C31" i="30"/>
  <c r="O30" i="30"/>
  <c r="N30" i="30"/>
  <c r="M30" i="30"/>
  <c r="K30" i="30"/>
  <c r="J30" i="30"/>
  <c r="I30" i="30"/>
  <c r="F30" i="30"/>
  <c r="E30" i="30"/>
  <c r="C30" i="30"/>
  <c r="O29" i="30"/>
  <c r="N29" i="30"/>
  <c r="M29" i="30"/>
  <c r="K29" i="30"/>
  <c r="J29" i="30"/>
  <c r="I29" i="30"/>
  <c r="F29" i="30"/>
  <c r="E29" i="30"/>
  <c r="C29" i="30"/>
  <c r="O28" i="30"/>
  <c r="N28" i="30"/>
  <c r="M28" i="30"/>
  <c r="K28" i="30"/>
  <c r="J28" i="30"/>
  <c r="I28" i="30"/>
  <c r="F28" i="30"/>
  <c r="E28" i="30"/>
  <c r="C28" i="30"/>
  <c r="O27" i="30"/>
  <c r="N27" i="30"/>
  <c r="M27" i="30"/>
  <c r="K27" i="30"/>
  <c r="J27" i="30"/>
  <c r="I27" i="30"/>
  <c r="F27" i="30"/>
  <c r="E27" i="30"/>
  <c r="C27" i="30"/>
  <c r="M26" i="30"/>
  <c r="I26" i="30"/>
  <c r="F26" i="30"/>
  <c r="G26" i="30" s="1"/>
  <c r="E26" i="30"/>
  <c r="C26" i="30"/>
  <c r="P25" i="30"/>
  <c r="M25" i="30"/>
  <c r="N26" i="30" s="1"/>
  <c r="O26" i="30" s="1"/>
  <c r="I25" i="30"/>
  <c r="J26" i="30" s="1"/>
  <c r="K26" i="30" s="1"/>
  <c r="L26" i="30" s="1"/>
  <c r="X18" i="71"/>
  <c r="X19" i="71"/>
  <c r="X20" i="71"/>
  <c r="X21" i="71"/>
  <c r="X22" i="71"/>
  <c r="X23" i="71"/>
  <c r="X24" i="71"/>
  <c r="X25" i="71"/>
  <c r="X26" i="71"/>
  <c r="X27" i="71"/>
  <c r="X28" i="71"/>
  <c r="X17" i="71"/>
  <c r="S18" i="71"/>
  <c r="S19" i="71"/>
  <c r="S20" i="71"/>
  <c r="S21" i="71"/>
  <c r="S22" i="71"/>
  <c r="S23" i="71"/>
  <c r="S24" i="71"/>
  <c r="S25" i="71"/>
  <c r="S26" i="71"/>
  <c r="S27" i="71"/>
  <c r="S28" i="71"/>
  <c r="S17" i="71"/>
  <c r="N18" i="71"/>
  <c r="N19" i="71"/>
  <c r="N20" i="71"/>
  <c r="N21" i="71"/>
  <c r="N22" i="71"/>
  <c r="N23" i="71"/>
  <c r="N24" i="71"/>
  <c r="N25" i="71"/>
  <c r="N26" i="71"/>
  <c r="N27" i="71"/>
  <c r="N28" i="71"/>
  <c r="N17" i="71"/>
  <c r="I3" i="71"/>
  <c r="I6" i="71"/>
  <c r="I10" i="71"/>
  <c r="K16" i="60"/>
  <c r="P44" i="70"/>
  <c r="Q44" i="70"/>
  <c r="R44" i="70" s="1"/>
  <c r="P20" i="70"/>
  <c r="Q43" i="70"/>
  <c r="P43" i="70"/>
  <c r="Q42" i="70"/>
  <c r="P42" i="70"/>
  <c r="Q41" i="70"/>
  <c r="P41" i="70"/>
  <c r="Q40" i="70"/>
  <c r="P40" i="70"/>
  <c r="Q39" i="70"/>
  <c r="P39" i="70"/>
  <c r="Q38" i="70"/>
  <c r="P38" i="70"/>
  <c r="Q37" i="70"/>
  <c r="P37" i="70"/>
  <c r="Q36" i="70"/>
  <c r="P36" i="70"/>
  <c r="Q35" i="70"/>
  <c r="P35" i="70"/>
  <c r="Q34" i="70"/>
  <c r="P34" i="70"/>
  <c r="Q33" i="70"/>
  <c r="P33" i="70"/>
  <c r="Q32" i="70"/>
  <c r="P32" i="70"/>
  <c r="Q31" i="70"/>
  <c r="P31" i="70"/>
  <c r="Q30" i="70"/>
  <c r="P30" i="70"/>
  <c r="Q29" i="70"/>
  <c r="P29" i="70"/>
  <c r="Q28" i="70"/>
  <c r="P28" i="70"/>
  <c r="Q27" i="70"/>
  <c r="P27" i="70"/>
  <c r="Q26" i="70"/>
  <c r="P26" i="70"/>
  <c r="P19" i="70"/>
  <c r="P18" i="70"/>
  <c r="P17" i="70"/>
  <c r="P16" i="70"/>
  <c r="P15" i="70"/>
  <c r="P14" i="70"/>
  <c r="P13" i="70"/>
  <c r="P12" i="70"/>
  <c r="P11" i="70"/>
  <c r="P10" i="70"/>
  <c r="P9" i="70"/>
  <c r="P8" i="70"/>
  <c r="P7" i="70"/>
  <c r="P6" i="70"/>
  <c r="P5" i="70"/>
  <c r="P4" i="70"/>
  <c r="Q3" i="70"/>
  <c r="P3" i="70"/>
  <c r="Q2" i="70"/>
  <c r="P2" i="70"/>
  <c r="E3" i="70"/>
  <c r="H3" i="70"/>
  <c r="E4" i="70"/>
  <c r="H4" i="70"/>
  <c r="E5" i="70"/>
  <c r="H5" i="70"/>
  <c r="E6" i="70"/>
  <c r="H6" i="70"/>
  <c r="I6" i="70" s="1"/>
  <c r="E7" i="70"/>
  <c r="H7" i="70"/>
  <c r="E8" i="70"/>
  <c r="H8" i="70"/>
  <c r="E9" i="70"/>
  <c r="H9" i="70"/>
  <c r="E10" i="70"/>
  <c r="H10" i="70"/>
  <c r="E11" i="70"/>
  <c r="H11" i="70"/>
  <c r="E12" i="70"/>
  <c r="H12" i="70"/>
  <c r="E13" i="70"/>
  <c r="H13" i="70"/>
  <c r="E14" i="70"/>
  <c r="H14" i="70"/>
  <c r="E15" i="70"/>
  <c r="H15" i="70"/>
  <c r="E16" i="70"/>
  <c r="H16" i="70"/>
  <c r="E17" i="70"/>
  <c r="H17" i="70"/>
  <c r="E18" i="70"/>
  <c r="H18" i="70"/>
  <c r="E19" i="70"/>
  <c r="E20" i="70"/>
  <c r="H19" i="70"/>
  <c r="H20" i="70"/>
  <c r="C18" i="70"/>
  <c r="C20" i="70"/>
  <c r="C19" i="70"/>
  <c r="C17" i="70"/>
  <c r="C16" i="70"/>
  <c r="C15" i="70"/>
  <c r="C14" i="70"/>
  <c r="C13" i="70"/>
  <c r="C12" i="70"/>
  <c r="C11" i="70"/>
  <c r="C10" i="70"/>
  <c r="C9" i="70"/>
  <c r="C8" i="70"/>
  <c r="C7" i="70"/>
  <c r="C6" i="70"/>
  <c r="C5" i="70"/>
  <c r="C4" i="70"/>
  <c r="C3" i="70"/>
  <c r="H2" i="70"/>
  <c r="H2" i="69"/>
  <c r="P2" i="69"/>
  <c r="Q2" i="69"/>
  <c r="R2" i="69"/>
  <c r="E3" i="69"/>
  <c r="F3" i="69"/>
  <c r="G3" i="69"/>
  <c r="H3" i="69"/>
  <c r="I3" i="69" s="1"/>
  <c r="J3" i="69" s="1"/>
  <c r="K3" i="69" s="1"/>
  <c r="P3" i="69"/>
  <c r="Q3" i="69"/>
  <c r="R3" i="69" s="1"/>
  <c r="E4" i="69"/>
  <c r="F4" i="69"/>
  <c r="H4" i="69"/>
  <c r="P4" i="69"/>
  <c r="Q4" i="69"/>
  <c r="R4" i="69"/>
  <c r="E5" i="69"/>
  <c r="F5" i="69" s="1"/>
  <c r="H5" i="69"/>
  <c r="I5" i="69" s="1"/>
  <c r="J5" i="69" s="1"/>
  <c r="P5" i="69"/>
  <c r="Q5" i="69"/>
  <c r="R5" i="69" s="1"/>
  <c r="E6" i="69"/>
  <c r="F6" i="69"/>
  <c r="H6" i="69"/>
  <c r="P6" i="69"/>
  <c r="R6" i="69" s="1"/>
  <c r="Q6" i="69"/>
  <c r="E7" i="69"/>
  <c r="F7" i="69"/>
  <c r="H7" i="69"/>
  <c r="P7" i="69"/>
  <c r="Q7" i="69"/>
  <c r="E8" i="69"/>
  <c r="F8" i="69" s="1"/>
  <c r="H8" i="69"/>
  <c r="P8" i="69"/>
  <c r="Q8" i="69"/>
  <c r="R8" i="69"/>
  <c r="E9" i="69"/>
  <c r="F9" i="69"/>
  <c r="H9" i="69"/>
  <c r="I9" i="69" s="1"/>
  <c r="J9" i="69" s="1"/>
  <c r="P9" i="69"/>
  <c r="R9" i="69" s="1"/>
  <c r="Q9" i="69"/>
  <c r="E10" i="69"/>
  <c r="F10" i="69"/>
  <c r="H10" i="69"/>
  <c r="P10" i="69"/>
  <c r="Q10" i="69"/>
  <c r="R10" i="69" s="1"/>
  <c r="E11" i="69"/>
  <c r="F11" i="69" s="1"/>
  <c r="H11" i="69"/>
  <c r="I11" i="69" s="1"/>
  <c r="J11" i="69" s="1"/>
  <c r="P11" i="69"/>
  <c r="Q11" i="69"/>
  <c r="R11" i="69" s="1"/>
  <c r="E12" i="69"/>
  <c r="F12" i="69"/>
  <c r="H12" i="69"/>
  <c r="P12" i="69"/>
  <c r="Q12" i="69"/>
  <c r="E13" i="69"/>
  <c r="F13" i="69" s="1"/>
  <c r="H13" i="69"/>
  <c r="P13" i="69"/>
  <c r="Q13" i="69"/>
  <c r="E14" i="69"/>
  <c r="F14" i="69"/>
  <c r="H14" i="69"/>
  <c r="P14" i="69"/>
  <c r="Q14" i="69"/>
  <c r="R14" i="69" s="1"/>
  <c r="E15" i="69"/>
  <c r="F15" i="69"/>
  <c r="H15" i="69"/>
  <c r="P15" i="69"/>
  <c r="Q15" i="69"/>
  <c r="E16" i="69"/>
  <c r="F16" i="69" s="1"/>
  <c r="H16" i="69"/>
  <c r="P16" i="69"/>
  <c r="Q16" i="69"/>
  <c r="E17" i="69"/>
  <c r="F17" i="69" s="1"/>
  <c r="H17" i="69"/>
  <c r="I17" i="69" s="1"/>
  <c r="J17" i="69" s="1"/>
  <c r="P17" i="69"/>
  <c r="Q17" i="69"/>
  <c r="Q42" i="69"/>
  <c r="P42" i="69"/>
  <c r="R41" i="69"/>
  <c r="Q41" i="69"/>
  <c r="P41" i="69"/>
  <c r="Q40" i="69"/>
  <c r="P40" i="69"/>
  <c r="Q39" i="69"/>
  <c r="P39" i="69"/>
  <c r="R39" i="69" s="1"/>
  <c r="Q38" i="69"/>
  <c r="P38" i="69"/>
  <c r="Q37" i="69"/>
  <c r="R37" i="69" s="1"/>
  <c r="P37" i="69"/>
  <c r="Q36" i="69"/>
  <c r="P36" i="69"/>
  <c r="Q35" i="69"/>
  <c r="P35" i="69"/>
  <c r="Q34" i="69"/>
  <c r="P34" i="69"/>
  <c r="Q33" i="69"/>
  <c r="R33" i="69" s="1"/>
  <c r="P33" i="69"/>
  <c r="Q32" i="69"/>
  <c r="P32" i="69"/>
  <c r="Q31" i="69"/>
  <c r="P31" i="69"/>
  <c r="R31" i="69" s="1"/>
  <c r="Q30" i="69"/>
  <c r="P30" i="69"/>
  <c r="Q29" i="69"/>
  <c r="R29" i="69" s="1"/>
  <c r="P29" i="69"/>
  <c r="Q28" i="69"/>
  <c r="P28" i="69"/>
  <c r="Q27" i="69"/>
  <c r="P27" i="69"/>
  <c r="Q26" i="69"/>
  <c r="P26" i="69"/>
  <c r="R25" i="69"/>
  <c r="Q25" i="69"/>
  <c r="P25" i="69"/>
  <c r="Q19" i="69"/>
  <c r="R19" i="69" s="1"/>
  <c r="P19" i="69"/>
  <c r="H19" i="69"/>
  <c r="E19" i="69"/>
  <c r="C19" i="69"/>
  <c r="Q18" i="69"/>
  <c r="P18" i="69"/>
  <c r="H18" i="69"/>
  <c r="E18" i="69"/>
  <c r="C18" i="69"/>
  <c r="C17" i="69"/>
  <c r="C16" i="69"/>
  <c r="C15" i="69"/>
  <c r="C14" i="69"/>
  <c r="C13" i="69"/>
  <c r="C12" i="69"/>
  <c r="C11" i="69"/>
  <c r="C10" i="69"/>
  <c r="C9" i="69"/>
  <c r="C8" i="69"/>
  <c r="C7" i="69"/>
  <c r="C6" i="69"/>
  <c r="C5" i="69"/>
  <c r="C4" i="69"/>
  <c r="C3" i="69"/>
  <c r="Q4" i="68"/>
  <c r="P42" i="68"/>
  <c r="Q42" i="68"/>
  <c r="R42" i="68"/>
  <c r="P19" i="68"/>
  <c r="Q41" i="68"/>
  <c r="P41" i="68"/>
  <c r="R40" i="68"/>
  <c r="Q40" i="68"/>
  <c r="P40" i="68"/>
  <c r="Q39" i="68"/>
  <c r="P39" i="68"/>
  <c r="Q38" i="68"/>
  <c r="P38" i="68"/>
  <c r="Q37" i="68"/>
  <c r="P37" i="68"/>
  <c r="Q36" i="68"/>
  <c r="P36" i="68"/>
  <c r="Q35" i="68"/>
  <c r="R35" i="68" s="1"/>
  <c r="P35" i="68"/>
  <c r="Q34" i="68"/>
  <c r="P34" i="68"/>
  <c r="Q33" i="68"/>
  <c r="R33" i="68" s="1"/>
  <c r="P33" i="68"/>
  <c r="Q32" i="68"/>
  <c r="P32" i="68"/>
  <c r="R32" i="68" s="1"/>
  <c r="Q31" i="68"/>
  <c r="P31" i="68"/>
  <c r="Q30" i="68"/>
  <c r="P30" i="68"/>
  <c r="Q29" i="68"/>
  <c r="P29" i="68"/>
  <c r="Q28" i="68"/>
  <c r="R28" i="68" s="1"/>
  <c r="P28" i="68"/>
  <c r="Q27" i="68"/>
  <c r="P27" i="68"/>
  <c r="Q26" i="68"/>
  <c r="R26" i="68" s="1"/>
  <c r="P26" i="68"/>
  <c r="Q25" i="68"/>
  <c r="P25" i="68"/>
  <c r="P18" i="68"/>
  <c r="P17" i="68"/>
  <c r="P16" i="68"/>
  <c r="P15" i="68"/>
  <c r="P14" i="68"/>
  <c r="P13" i="68"/>
  <c r="P12" i="68"/>
  <c r="P11" i="68"/>
  <c r="P10" i="68"/>
  <c r="P9" i="68"/>
  <c r="P8" i="68"/>
  <c r="P7" i="68"/>
  <c r="P6" i="68"/>
  <c r="P5" i="68"/>
  <c r="P4" i="68"/>
  <c r="Q3" i="68"/>
  <c r="P3" i="68"/>
  <c r="Q2" i="68"/>
  <c r="P2" i="68"/>
  <c r="H2" i="68"/>
  <c r="E3" i="68"/>
  <c r="F3" i="68" s="1"/>
  <c r="G3" i="68" s="1"/>
  <c r="H3" i="68"/>
  <c r="I3" i="68"/>
  <c r="J3" i="68" s="1"/>
  <c r="K3" i="68" s="1"/>
  <c r="K4" i="68" s="1"/>
  <c r="K5" i="68" s="1"/>
  <c r="K6" i="68" s="1"/>
  <c r="E4" i="68"/>
  <c r="F4" i="68"/>
  <c r="H4" i="68"/>
  <c r="I4" i="68" s="1"/>
  <c r="J4" i="68" s="1"/>
  <c r="E5" i="68"/>
  <c r="F5" i="68" s="1"/>
  <c r="H5" i="68"/>
  <c r="I5" i="68"/>
  <c r="J5" i="68" s="1"/>
  <c r="E6" i="68"/>
  <c r="F6" i="68"/>
  <c r="H6" i="68"/>
  <c r="I6" i="68"/>
  <c r="J6" i="68" s="1"/>
  <c r="E7" i="68"/>
  <c r="F7" i="68"/>
  <c r="H7" i="68"/>
  <c r="I7" i="68"/>
  <c r="J7" i="68" s="1"/>
  <c r="E8" i="68"/>
  <c r="F8" i="68" s="1"/>
  <c r="H8" i="68"/>
  <c r="I8" i="68" s="1"/>
  <c r="J8" i="68" s="1"/>
  <c r="E9" i="68"/>
  <c r="F9" i="68" s="1"/>
  <c r="H9" i="68"/>
  <c r="I9" i="68" s="1"/>
  <c r="J9" i="68" s="1"/>
  <c r="E10" i="68"/>
  <c r="F10" i="68" s="1"/>
  <c r="H10" i="68"/>
  <c r="E11" i="68"/>
  <c r="F11" i="68" s="1"/>
  <c r="H11" i="68"/>
  <c r="I11" i="68"/>
  <c r="J11" i="68"/>
  <c r="E12" i="68"/>
  <c r="F12" i="68"/>
  <c r="H12" i="68"/>
  <c r="I12" i="68" s="1"/>
  <c r="J12" i="68" s="1"/>
  <c r="E13" i="68"/>
  <c r="F13" i="68" s="1"/>
  <c r="H13" i="68"/>
  <c r="E14" i="68"/>
  <c r="F14" i="68" s="1"/>
  <c r="H14" i="68"/>
  <c r="I14" i="68"/>
  <c r="J14" i="68" s="1"/>
  <c r="E15" i="68"/>
  <c r="F15" i="68"/>
  <c r="H15" i="68"/>
  <c r="I15" i="68"/>
  <c r="J15" i="68" s="1"/>
  <c r="E16" i="68"/>
  <c r="F16" i="68"/>
  <c r="H16" i="68"/>
  <c r="I16" i="68" s="1"/>
  <c r="J16" i="68" s="1"/>
  <c r="E17" i="68"/>
  <c r="F17" i="68" s="1"/>
  <c r="H17" i="68"/>
  <c r="Q41" i="67"/>
  <c r="P41" i="67"/>
  <c r="Q40" i="67"/>
  <c r="P40" i="67"/>
  <c r="Q39" i="67"/>
  <c r="P39" i="67"/>
  <c r="Q38" i="67"/>
  <c r="P38" i="67"/>
  <c r="Q37" i="67"/>
  <c r="P37" i="67"/>
  <c r="R36" i="67"/>
  <c r="Q36" i="67"/>
  <c r="P36" i="67"/>
  <c r="Q35" i="67"/>
  <c r="P35" i="67"/>
  <c r="Q34" i="67"/>
  <c r="R34" i="67" s="1"/>
  <c r="P34" i="67"/>
  <c r="Q33" i="67"/>
  <c r="P33" i="67"/>
  <c r="R33" i="67" s="1"/>
  <c r="R32" i="67"/>
  <c r="Q32" i="67"/>
  <c r="P32" i="67"/>
  <c r="Q31" i="67"/>
  <c r="P31" i="67"/>
  <c r="Q30" i="67"/>
  <c r="P30" i="67"/>
  <c r="Q29" i="67"/>
  <c r="P29" i="67"/>
  <c r="Q28" i="67"/>
  <c r="P28" i="67"/>
  <c r="R28" i="67" s="1"/>
  <c r="Q27" i="67"/>
  <c r="R27" i="67" s="1"/>
  <c r="P27" i="67"/>
  <c r="Q26" i="67"/>
  <c r="P26" i="67"/>
  <c r="Q25" i="67"/>
  <c r="R25" i="67" s="1"/>
  <c r="P25" i="67"/>
  <c r="Q18" i="67"/>
  <c r="P18" i="67"/>
  <c r="H18" i="67"/>
  <c r="E18" i="67"/>
  <c r="F18" i="67" s="1"/>
  <c r="C18" i="67"/>
  <c r="Q17" i="67"/>
  <c r="P17" i="67"/>
  <c r="H17" i="67"/>
  <c r="E17" i="67"/>
  <c r="C17" i="67"/>
  <c r="Q16" i="67"/>
  <c r="R16" i="67" s="1"/>
  <c r="P16" i="67"/>
  <c r="H16" i="67"/>
  <c r="E16" i="67"/>
  <c r="C16" i="67"/>
  <c r="Q15" i="67"/>
  <c r="P15" i="67"/>
  <c r="H15" i="67"/>
  <c r="E15" i="67"/>
  <c r="C15" i="67"/>
  <c r="Q14" i="67"/>
  <c r="P14" i="67"/>
  <c r="R14" i="67" s="1"/>
  <c r="H14" i="67"/>
  <c r="I14" i="67" s="1"/>
  <c r="J14" i="67" s="1"/>
  <c r="F14" i="67"/>
  <c r="E14" i="67"/>
  <c r="C14" i="67"/>
  <c r="Q13" i="67"/>
  <c r="P13" i="67"/>
  <c r="H13" i="67"/>
  <c r="E13" i="67"/>
  <c r="C13" i="67"/>
  <c r="Q12" i="67"/>
  <c r="P12" i="67"/>
  <c r="H12" i="67"/>
  <c r="E12" i="67"/>
  <c r="C12" i="67"/>
  <c r="Q11" i="67"/>
  <c r="P11" i="67"/>
  <c r="H11" i="67"/>
  <c r="I11" i="67" s="1"/>
  <c r="E11" i="67"/>
  <c r="C11" i="67"/>
  <c r="Q10" i="67"/>
  <c r="R10" i="67" s="1"/>
  <c r="P10" i="67"/>
  <c r="H10" i="67"/>
  <c r="E10" i="67"/>
  <c r="F10" i="67" s="1"/>
  <c r="C10" i="67"/>
  <c r="Q9" i="67"/>
  <c r="P9" i="67"/>
  <c r="H9" i="67"/>
  <c r="E9" i="67"/>
  <c r="C9" i="67"/>
  <c r="Q8" i="67"/>
  <c r="P8" i="67"/>
  <c r="H8" i="67"/>
  <c r="I9" i="67" s="1"/>
  <c r="E8" i="67"/>
  <c r="C8" i="67"/>
  <c r="Q7" i="67"/>
  <c r="P7" i="67"/>
  <c r="H7" i="67"/>
  <c r="E7" i="67"/>
  <c r="C7" i="67"/>
  <c r="Q6" i="67"/>
  <c r="R6" i="67" s="1"/>
  <c r="P6" i="67"/>
  <c r="H6" i="67"/>
  <c r="F6" i="67"/>
  <c r="E6" i="67"/>
  <c r="C6" i="67"/>
  <c r="Q5" i="67"/>
  <c r="P5" i="67"/>
  <c r="H5" i="67"/>
  <c r="E5" i="67"/>
  <c r="C5" i="67"/>
  <c r="J5" i="67" s="1"/>
  <c r="Q4" i="67"/>
  <c r="P4" i="67"/>
  <c r="H4" i="67"/>
  <c r="I5" i="67" s="1"/>
  <c r="E4" i="67"/>
  <c r="C4" i="67"/>
  <c r="R3" i="67"/>
  <c r="Q3" i="67"/>
  <c r="P3" i="67"/>
  <c r="H3" i="67"/>
  <c r="E3" i="67"/>
  <c r="F3" i="67" s="1"/>
  <c r="G3" i="67" s="1"/>
  <c r="C3" i="67"/>
  <c r="Q2" i="67"/>
  <c r="P2" i="67"/>
  <c r="R2" i="67" s="1"/>
  <c r="H2" i="67"/>
  <c r="H2" i="63"/>
  <c r="P2" i="63"/>
  <c r="Q2" i="63"/>
  <c r="E3" i="63"/>
  <c r="F3" i="63" s="1"/>
  <c r="G3" i="63" s="1"/>
  <c r="G4" i="63" s="1"/>
  <c r="H3" i="63"/>
  <c r="I3" i="63" s="1"/>
  <c r="J3" i="63" s="1"/>
  <c r="K3" i="63" s="1"/>
  <c r="P3" i="63"/>
  <c r="Q3" i="63"/>
  <c r="E4" i="63"/>
  <c r="F4" i="63" s="1"/>
  <c r="H4" i="63"/>
  <c r="P4" i="63"/>
  <c r="Q4" i="63"/>
  <c r="E5" i="63"/>
  <c r="F5" i="63" s="1"/>
  <c r="H5" i="63"/>
  <c r="P5" i="63"/>
  <c r="Q5" i="63"/>
  <c r="E6" i="63"/>
  <c r="F6" i="63" s="1"/>
  <c r="H6" i="63"/>
  <c r="I6" i="63" s="1"/>
  <c r="J6" i="63" s="1"/>
  <c r="P6" i="63"/>
  <c r="Q6" i="63"/>
  <c r="E7" i="63"/>
  <c r="F7" i="63" s="1"/>
  <c r="H7" i="63"/>
  <c r="I7" i="63" s="1"/>
  <c r="J7" i="63" s="1"/>
  <c r="P7" i="63"/>
  <c r="Q7" i="63"/>
  <c r="R7" i="63" s="1"/>
  <c r="E8" i="63"/>
  <c r="F8" i="63" s="1"/>
  <c r="H8" i="63"/>
  <c r="P8" i="63"/>
  <c r="Q8" i="63"/>
  <c r="E9" i="63"/>
  <c r="F9" i="63" s="1"/>
  <c r="H9" i="63"/>
  <c r="I9" i="63" s="1"/>
  <c r="J9" i="63" s="1"/>
  <c r="P9" i="63"/>
  <c r="Q9" i="63"/>
  <c r="E10" i="63"/>
  <c r="F10" i="63"/>
  <c r="H10" i="63"/>
  <c r="I10" i="63" s="1"/>
  <c r="J10" i="63" s="1"/>
  <c r="P10" i="63"/>
  <c r="Q10" i="63"/>
  <c r="E11" i="63"/>
  <c r="F11" i="63" s="1"/>
  <c r="H11" i="63"/>
  <c r="I11" i="63"/>
  <c r="J11" i="63" s="1"/>
  <c r="P11" i="63"/>
  <c r="Q11" i="63"/>
  <c r="E12" i="63"/>
  <c r="F12" i="63" s="1"/>
  <c r="H12" i="63"/>
  <c r="I12" i="63" s="1"/>
  <c r="J12" i="63" s="1"/>
  <c r="P12" i="63"/>
  <c r="R12" i="63" s="1"/>
  <c r="Q12" i="63"/>
  <c r="E13" i="63"/>
  <c r="F13" i="63"/>
  <c r="H13" i="63"/>
  <c r="I14" i="63" s="1"/>
  <c r="J14" i="63" s="1"/>
  <c r="P13" i="63"/>
  <c r="Q13" i="63"/>
  <c r="E14" i="63"/>
  <c r="F14" i="63" s="1"/>
  <c r="H14" i="63"/>
  <c r="P14" i="63"/>
  <c r="Q14" i="63"/>
  <c r="R14" i="63" s="1"/>
  <c r="E15" i="63"/>
  <c r="F15" i="63" s="1"/>
  <c r="H15" i="63"/>
  <c r="I15" i="63" s="1"/>
  <c r="J15" i="63" s="1"/>
  <c r="P15" i="63"/>
  <c r="Q15" i="63"/>
  <c r="R15" i="63" s="1"/>
  <c r="Q39" i="63"/>
  <c r="P39" i="63"/>
  <c r="Q38" i="63"/>
  <c r="P38" i="63"/>
  <c r="Q37" i="63"/>
  <c r="P37" i="63"/>
  <c r="Q36" i="63"/>
  <c r="R36" i="63" s="1"/>
  <c r="P36" i="63"/>
  <c r="Q35" i="63"/>
  <c r="P35" i="63"/>
  <c r="R34" i="63"/>
  <c r="Q34" i="63"/>
  <c r="P34" i="63"/>
  <c r="Q33" i="63"/>
  <c r="R33" i="63" s="1"/>
  <c r="P33" i="63"/>
  <c r="Q32" i="63"/>
  <c r="P32" i="63"/>
  <c r="Q31" i="63"/>
  <c r="R31" i="63" s="1"/>
  <c r="P31" i="63"/>
  <c r="Q30" i="63"/>
  <c r="P30" i="63"/>
  <c r="Q29" i="63"/>
  <c r="R29" i="63" s="1"/>
  <c r="P29" i="63"/>
  <c r="Q28" i="63"/>
  <c r="P28" i="63"/>
  <c r="Q27" i="63"/>
  <c r="R27" i="63" s="1"/>
  <c r="P27" i="63"/>
  <c r="Q26" i="63"/>
  <c r="P26" i="63"/>
  <c r="R26" i="63" s="1"/>
  <c r="Q25" i="63"/>
  <c r="R25" i="63" s="1"/>
  <c r="P25" i="63"/>
  <c r="Q24" i="63"/>
  <c r="P24" i="63"/>
  <c r="Q17" i="63"/>
  <c r="P17" i="63"/>
  <c r="H17" i="63"/>
  <c r="I17" i="63" s="1"/>
  <c r="E17" i="63"/>
  <c r="C17" i="63"/>
  <c r="J17" i="63" s="1"/>
  <c r="Q16" i="63"/>
  <c r="P16" i="63"/>
  <c r="R16" i="63" s="1"/>
  <c r="H16" i="63"/>
  <c r="I16" i="63" s="1"/>
  <c r="J16" i="63" s="1"/>
  <c r="E16" i="63"/>
  <c r="F16" i="63" s="1"/>
  <c r="C16" i="63"/>
  <c r="C15" i="63"/>
  <c r="C14" i="63"/>
  <c r="R13" i="63"/>
  <c r="C13" i="63"/>
  <c r="C12" i="63"/>
  <c r="C11" i="63"/>
  <c r="R10" i="63"/>
  <c r="C10" i="63"/>
  <c r="R9" i="63"/>
  <c r="C9" i="63"/>
  <c r="C8" i="63"/>
  <c r="C7" i="63"/>
  <c r="R6" i="63"/>
  <c r="C6" i="63"/>
  <c r="R5" i="63"/>
  <c r="C5" i="63"/>
  <c r="C4" i="63"/>
  <c r="R3" i="63"/>
  <c r="C3" i="63"/>
  <c r="R2" i="63"/>
  <c r="Q3" i="66"/>
  <c r="Q3" i="64"/>
  <c r="Q25" i="64"/>
  <c r="Q26" i="64"/>
  <c r="Q27" i="64"/>
  <c r="Q28" i="64"/>
  <c r="Q29" i="64"/>
  <c r="Q30" i="64"/>
  <c r="Q31" i="64"/>
  <c r="Q32" i="64"/>
  <c r="Q33" i="64"/>
  <c r="Q34" i="64"/>
  <c r="Q35" i="64"/>
  <c r="Q36" i="64"/>
  <c r="Q37" i="64"/>
  <c r="R37" i="64" s="1"/>
  <c r="Q38" i="64"/>
  <c r="Q39" i="64"/>
  <c r="Q25" i="43"/>
  <c r="Q26" i="43"/>
  <c r="Q27" i="43"/>
  <c r="Q28" i="43"/>
  <c r="Q29" i="43"/>
  <c r="Q30" i="43"/>
  <c r="Q31" i="43"/>
  <c r="Q32" i="43"/>
  <c r="Q33" i="43"/>
  <c r="Q34" i="43"/>
  <c r="Q35" i="43"/>
  <c r="Q36" i="43"/>
  <c r="Q37" i="43"/>
  <c r="Q38" i="43"/>
  <c r="P25" i="66"/>
  <c r="Q25" i="66"/>
  <c r="P26" i="66"/>
  <c r="Q26" i="66"/>
  <c r="P27" i="66"/>
  <c r="Q27" i="66"/>
  <c r="R27" i="66" s="1"/>
  <c r="P28" i="66"/>
  <c r="Q28" i="66"/>
  <c r="P29" i="66"/>
  <c r="Q29" i="66"/>
  <c r="R29" i="66" s="1"/>
  <c r="P30" i="66"/>
  <c r="Q30" i="66"/>
  <c r="P31" i="66"/>
  <c r="Q31" i="66"/>
  <c r="R31" i="66" s="1"/>
  <c r="P32" i="66"/>
  <c r="Q32" i="66"/>
  <c r="R32" i="66" s="1"/>
  <c r="P33" i="66"/>
  <c r="Q33" i="66"/>
  <c r="R33" i="66" s="1"/>
  <c r="P34" i="66"/>
  <c r="Q34" i="66"/>
  <c r="R34" i="66" s="1"/>
  <c r="P35" i="66"/>
  <c r="Q35" i="66"/>
  <c r="P36" i="66"/>
  <c r="Q36" i="66"/>
  <c r="P37" i="66"/>
  <c r="Q37" i="66"/>
  <c r="P38" i="66"/>
  <c r="Q38" i="66"/>
  <c r="P39" i="66"/>
  <c r="Q39" i="66"/>
  <c r="P40" i="66"/>
  <c r="Q40" i="66"/>
  <c r="R40" i="66" s="1"/>
  <c r="P41" i="66"/>
  <c r="Q41" i="66"/>
  <c r="P18" i="66"/>
  <c r="H18" i="66"/>
  <c r="E18" i="66"/>
  <c r="C18" i="66"/>
  <c r="P17" i="66"/>
  <c r="H17" i="66"/>
  <c r="E17" i="66"/>
  <c r="C17" i="66"/>
  <c r="P16" i="66"/>
  <c r="H16" i="66"/>
  <c r="I16" i="66" s="1"/>
  <c r="E16" i="66"/>
  <c r="C16" i="66"/>
  <c r="P15" i="66"/>
  <c r="H15" i="66"/>
  <c r="E15" i="66"/>
  <c r="F15" i="66" s="1"/>
  <c r="C15" i="66"/>
  <c r="P14" i="66"/>
  <c r="H14" i="66"/>
  <c r="I15" i="66" s="1"/>
  <c r="J15" i="66" s="1"/>
  <c r="E14" i="66"/>
  <c r="F14" i="66" s="1"/>
  <c r="C14" i="66"/>
  <c r="P13" i="66"/>
  <c r="H13" i="66"/>
  <c r="E13" i="66"/>
  <c r="C13" i="66"/>
  <c r="P12" i="66"/>
  <c r="H12" i="66"/>
  <c r="E12" i="66"/>
  <c r="C12" i="66"/>
  <c r="P11" i="66"/>
  <c r="H11" i="66"/>
  <c r="F11" i="66"/>
  <c r="E11" i="66"/>
  <c r="C11" i="66"/>
  <c r="P10" i="66"/>
  <c r="H10" i="66"/>
  <c r="E10" i="66"/>
  <c r="F10" i="66" s="1"/>
  <c r="C10" i="66"/>
  <c r="P9" i="66"/>
  <c r="H9" i="66"/>
  <c r="I10" i="66" s="1"/>
  <c r="J10" i="66" s="1"/>
  <c r="E9" i="66"/>
  <c r="C9" i="66"/>
  <c r="P8" i="66"/>
  <c r="H8" i="66"/>
  <c r="I8" i="66" s="1"/>
  <c r="E8" i="66"/>
  <c r="C8" i="66"/>
  <c r="P7" i="66"/>
  <c r="H7" i="66"/>
  <c r="E7" i="66"/>
  <c r="F7" i="66" s="1"/>
  <c r="C7" i="66"/>
  <c r="P6" i="66"/>
  <c r="H6" i="66"/>
  <c r="I7" i="66" s="1"/>
  <c r="J7" i="66" s="1"/>
  <c r="E6" i="66"/>
  <c r="F6" i="66" s="1"/>
  <c r="C6" i="66"/>
  <c r="P5" i="66"/>
  <c r="H5" i="66"/>
  <c r="E5" i="66"/>
  <c r="C5" i="66"/>
  <c r="P4" i="66"/>
  <c r="H4" i="66"/>
  <c r="E4" i="66"/>
  <c r="C4" i="66"/>
  <c r="P3" i="66"/>
  <c r="H3" i="66"/>
  <c r="E3" i="66"/>
  <c r="C3" i="66"/>
  <c r="F3" i="66" s="1"/>
  <c r="G3" i="66" s="1"/>
  <c r="Q2" i="66"/>
  <c r="P2" i="66"/>
  <c r="H2" i="66"/>
  <c r="H2" i="65"/>
  <c r="P2" i="65"/>
  <c r="Q2" i="65"/>
  <c r="E3" i="65"/>
  <c r="F3" i="65" s="1"/>
  <c r="G3" i="65" s="1"/>
  <c r="H3" i="65"/>
  <c r="I3" i="65" s="1"/>
  <c r="J3" i="65" s="1"/>
  <c r="K3" i="65" s="1"/>
  <c r="P3" i="65"/>
  <c r="Q3" i="65"/>
  <c r="E4" i="65"/>
  <c r="F4" i="65" s="1"/>
  <c r="H4" i="65"/>
  <c r="P4" i="65"/>
  <c r="Q4" i="65"/>
  <c r="E5" i="65"/>
  <c r="F5" i="65" s="1"/>
  <c r="H5" i="65"/>
  <c r="P5" i="65"/>
  <c r="Q5" i="65"/>
  <c r="E6" i="65"/>
  <c r="F6" i="65"/>
  <c r="H6" i="65"/>
  <c r="I6" i="65" s="1"/>
  <c r="J6" i="65" s="1"/>
  <c r="P6" i="65"/>
  <c r="Q6" i="65"/>
  <c r="E7" i="65"/>
  <c r="F7" i="65" s="1"/>
  <c r="H7" i="65"/>
  <c r="I7" i="65" s="1"/>
  <c r="J7" i="65" s="1"/>
  <c r="P7" i="65"/>
  <c r="Q7" i="65"/>
  <c r="E8" i="65"/>
  <c r="F8" i="65" s="1"/>
  <c r="H8" i="65"/>
  <c r="P8" i="65"/>
  <c r="Q8" i="65"/>
  <c r="E9" i="65"/>
  <c r="F9" i="65" s="1"/>
  <c r="H9" i="65"/>
  <c r="P9" i="65"/>
  <c r="Q9" i="65"/>
  <c r="E10" i="65"/>
  <c r="F10" i="65"/>
  <c r="H10" i="65"/>
  <c r="I10" i="65" s="1"/>
  <c r="J10" i="65" s="1"/>
  <c r="P10" i="65"/>
  <c r="Q10" i="65"/>
  <c r="R10" i="65" s="1"/>
  <c r="E11" i="65"/>
  <c r="F11" i="65" s="1"/>
  <c r="H11" i="65"/>
  <c r="I11" i="65" s="1"/>
  <c r="J11" i="65" s="1"/>
  <c r="P11" i="65"/>
  <c r="Q11" i="65"/>
  <c r="R11" i="65" s="1"/>
  <c r="E12" i="65"/>
  <c r="F12" i="65" s="1"/>
  <c r="H12" i="65"/>
  <c r="P12" i="65"/>
  <c r="Q12" i="65"/>
  <c r="E13" i="65"/>
  <c r="F13" i="65" s="1"/>
  <c r="H13" i="65"/>
  <c r="P13" i="65"/>
  <c r="Q13" i="65"/>
  <c r="E14" i="65"/>
  <c r="F14" i="65" s="1"/>
  <c r="H14" i="65"/>
  <c r="I14" i="65" s="1"/>
  <c r="J14" i="65" s="1"/>
  <c r="P14" i="65"/>
  <c r="Q14" i="65"/>
  <c r="E15" i="65"/>
  <c r="F15" i="65" s="1"/>
  <c r="H15" i="65"/>
  <c r="I15" i="65"/>
  <c r="J15" i="65" s="1"/>
  <c r="P15" i="65"/>
  <c r="Q15" i="65"/>
  <c r="Q39" i="65"/>
  <c r="P39" i="65"/>
  <c r="Q38" i="65"/>
  <c r="P38" i="65"/>
  <c r="Q37" i="65"/>
  <c r="P37" i="65"/>
  <c r="Q36" i="65"/>
  <c r="R36" i="65" s="1"/>
  <c r="P36" i="65"/>
  <c r="Q35" i="65"/>
  <c r="P35" i="65"/>
  <c r="R34" i="65"/>
  <c r="Q34" i="65"/>
  <c r="P34" i="65"/>
  <c r="Q33" i="65"/>
  <c r="P33" i="65"/>
  <c r="Q32" i="65"/>
  <c r="P32" i="65"/>
  <c r="Q31" i="65"/>
  <c r="P31" i="65"/>
  <c r="Q30" i="65"/>
  <c r="P30" i="65"/>
  <c r="Q29" i="65"/>
  <c r="P29" i="65"/>
  <c r="Q28" i="65"/>
  <c r="P28" i="65"/>
  <c r="Q27" i="65"/>
  <c r="P27" i="65"/>
  <c r="Q26" i="65"/>
  <c r="P26" i="65"/>
  <c r="Q25" i="65"/>
  <c r="P25" i="65"/>
  <c r="Q24" i="65"/>
  <c r="P24" i="65"/>
  <c r="Q17" i="65"/>
  <c r="P17" i="65"/>
  <c r="H17" i="65"/>
  <c r="E17" i="65"/>
  <c r="C17" i="65"/>
  <c r="Q16" i="65"/>
  <c r="R16" i="65" s="1"/>
  <c r="P16" i="65"/>
  <c r="H16" i="65"/>
  <c r="E16" i="65"/>
  <c r="C16" i="65"/>
  <c r="C15" i="65"/>
  <c r="C14" i="65"/>
  <c r="C13" i="65"/>
  <c r="C12" i="65"/>
  <c r="C11" i="65"/>
  <c r="C10" i="65"/>
  <c r="C9" i="65"/>
  <c r="R8" i="65"/>
  <c r="C8" i="65"/>
  <c r="C7" i="65"/>
  <c r="R6" i="65"/>
  <c r="C6" i="65"/>
  <c r="C5" i="65"/>
  <c r="C4" i="65"/>
  <c r="C3" i="65"/>
  <c r="R2" i="65"/>
  <c r="P39" i="64"/>
  <c r="R39" i="64" s="1"/>
  <c r="P38" i="64"/>
  <c r="P37" i="64"/>
  <c r="R36" i="64"/>
  <c r="P36" i="64"/>
  <c r="R35" i="64"/>
  <c r="P35" i="64"/>
  <c r="P34" i="64"/>
  <c r="R34" i="64" s="1"/>
  <c r="P33" i="64"/>
  <c r="P32" i="64"/>
  <c r="P31" i="64"/>
  <c r="P30" i="64"/>
  <c r="R30" i="64" s="1"/>
  <c r="P29" i="64"/>
  <c r="R29" i="64" s="1"/>
  <c r="P28" i="64"/>
  <c r="P27" i="64"/>
  <c r="P26" i="64"/>
  <c r="P25" i="64"/>
  <c r="Q24" i="64"/>
  <c r="P24" i="64"/>
  <c r="P17" i="64"/>
  <c r="H17" i="64"/>
  <c r="E17" i="64"/>
  <c r="C17" i="64"/>
  <c r="F17" i="64" s="1"/>
  <c r="P16" i="64"/>
  <c r="H16" i="64"/>
  <c r="E16" i="64"/>
  <c r="C16" i="64"/>
  <c r="P15" i="64"/>
  <c r="H15" i="64"/>
  <c r="E15" i="64"/>
  <c r="C15" i="64"/>
  <c r="P14" i="64"/>
  <c r="H14" i="64"/>
  <c r="E14" i="64"/>
  <c r="C14" i="64"/>
  <c r="P13" i="64"/>
  <c r="H13" i="64"/>
  <c r="E13" i="64"/>
  <c r="F13" i="64" s="1"/>
  <c r="C13" i="64"/>
  <c r="P12" i="64"/>
  <c r="H12" i="64"/>
  <c r="E12" i="64"/>
  <c r="F12" i="64" s="1"/>
  <c r="C12" i="64"/>
  <c r="P11" i="64"/>
  <c r="H11" i="64"/>
  <c r="E11" i="64"/>
  <c r="C11" i="64"/>
  <c r="P10" i="64"/>
  <c r="H10" i="64"/>
  <c r="E10" i="64"/>
  <c r="C10" i="64"/>
  <c r="P9" i="64"/>
  <c r="H9" i="64"/>
  <c r="E9" i="64"/>
  <c r="F9" i="64" s="1"/>
  <c r="C9" i="64"/>
  <c r="P8" i="64"/>
  <c r="H8" i="64"/>
  <c r="E8" i="64"/>
  <c r="F8" i="64" s="1"/>
  <c r="C8" i="64"/>
  <c r="P7" i="64"/>
  <c r="H7" i="64"/>
  <c r="E7" i="64"/>
  <c r="C7" i="64"/>
  <c r="J7" i="64" s="1"/>
  <c r="P6" i="64"/>
  <c r="H6" i="64"/>
  <c r="I7" i="64" s="1"/>
  <c r="E6" i="64"/>
  <c r="C6" i="64"/>
  <c r="P5" i="64"/>
  <c r="H5" i="64"/>
  <c r="E5" i="64"/>
  <c r="F5" i="64" s="1"/>
  <c r="C5" i="64"/>
  <c r="P4" i="64"/>
  <c r="H4" i="64"/>
  <c r="I5" i="64" s="1"/>
  <c r="J5" i="64" s="1"/>
  <c r="F4" i="64"/>
  <c r="E4" i="64"/>
  <c r="C4" i="64"/>
  <c r="P3" i="64"/>
  <c r="H3" i="64"/>
  <c r="E3" i="64"/>
  <c r="C3" i="64"/>
  <c r="Q2" i="64"/>
  <c r="R2" i="64" s="1"/>
  <c r="P2" i="64"/>
  <c r="H2" i="64"/>
  <c r="H2" i="62"/>
  <c r="P2" i="62"/>
  <c r="E3" i="62"/>
  <c r="F3" i="62" s="1"/>
  <c r="G3" i="62" s="1"/>
  <c r="G4" i="62" s="1"/>
  <c r="H3" i="62"/>
  <c r="I3" i="62"/>
  <c r="J3" i="62" s="1"/>
  <c r="K3" i="62" s="1"/>
  <c r="P3" i="62"/>
  <c r="E4" i="62"/>
  <c r="F4" i="62"/>
  <c r="H4" i="62"/>
  <c r="I4" i="62" s="1"/>
  <c r="J4" i="62" s="1"/>
  <c r="P4" i="62"/>
  <c r="E5" i="62"/>
  <c r="F5" i="62" s="1"/>
  <c r="H5" i="62"/>
  <c r="P5" i="62"/>
  <c r="E6" i="62"/>
  <c r="F6" i="62" s="1"/>
  <c r="H6" i="62"/>
  <c r="I7" i="62" s="1"/>
  <c r="J7" i="62" s="1"/>
  <c r="P6" i="62"/>
  <c r="E7" i="62"/>
  <c r="F7" i="62"/>
  <c r="H7" i="62"/>
  <c r="P7" i="62"/>
  <c r="E8" i="62"/>
  <c r="F8" i="62"/>
  <c r="H8" i="62"/>
  <c r="I8" i="62"/>
  <c r="J8" i="62" s="1"/>
  <c r="P8" i="62"/>
  <c r="E9" i="62"/>
  <c r="F9" i="62" s="1"/>
  <c r="H9" i="62"/>
  <c r="P9" i="62"/>
  <c r="E10" i="62"/>
  <c r="F10" i="62" s="1"/>
  <c r="H10" i="62"/>
  <c r="I11" i="62" s="1"/>
  <c r="J11" i="62" s="1"/>
  <c r="P10" i="62"/>
  <c r="E11" i="62"/>
  <c r="F11" i="62"/>
  <c r="H11" i="62"/>
  <c r="P11" i="62"/>
  <c r="E12" i="62"/>
  <c r="F12" i="62"/>
  <c r="H12" i="62"/>
  <c r="I12" i="62"/>
  <c r="J12" i="62" s="1"/>
  <c r="P12" i="62"/>
  <c r="E13" i="62"/>
  <c r="F13" i="62" s="1"/>
  <c r="H13" i="62"/>
  <c r="P13" i="62"/>
  <c r="E14" i="62"/>
  <c r="F14" i="62" s="1"/>
  <c r="H14" i="62"/>
  <c r="I14" i="62" s="1"/>
  <c r="J14" i="62" s="1"/>
  <c r="P14" i="62"/>
  <c r="Q37" i="62"/>
  <c r="R37" i="62" s="1"/>
  <c r="P37" i="62"/>
  <c r="Q36" i="62"/>
  <c r="P36" i="62"/>
  <c r="Q35" i="62"/>
  <c r="R35" i="62" s="1"/>
  <c r="P35" i="62"/>
  <c r="Q34" i="62"/>
  <c r="P34" i="62"/>
  <c r="Q33" i="62"/>
  <c r="R33" i="62" s="1"/>
  <c r="P33" i="62"/>
  <c r="Q32" i="62"/>
  <c r="P32" i="62"/>
  <c r="Q31" i="62"/>
  <c r="P31" i="62"/>
  <c r="Q30" i="62"/>
  <c r="P30" i="62"/>
  <c r="Q29" i="62"/>
  <c r="P29" i="62"/>
  <c r="Q28" i="62"/>
  <c r="P28" i="62"/>
  <c r="Q27" i="62"/>
  <c r="P27" i="62"/>
  <c r="Q26" i="62"/>
  <c r="P26" i="62"/>
  <c r="Q25" i="62"/>
  <c r="P25" i="62"/>
  <c r="Q24" i="62"/>
  <c r="P24" i="62"/>
  <c r="Q23" i="62"/>
  <c r="R23" i="62" s="1"/>
  <c r="P23" i="62"/>
  <c r="Q16" i="62"/>
  <c r="R16" i="62" s="1"/>
  <c r="P16" i="62"/>
  <c r="H16" i="62"/>
  <c r="E16" i="62"/>
  <c r="C16" i="62"/>
  <c r="Q15" i="62"/>
  <c r="P15" i="62"/>
  <c r="H15" i="62"/>
  <c r="I15" i="62" s="1"/>
  <c r="E15" i="62"/>
  <c r="C15" i="62"/>
  <c r="Q14" i="62"/>
  <c r="R14" i="62" s="1"/>
  <c r="C14" i="62"/>
  <c r="Q13" i="62"/>
  <c r="R13" i="62" s="1"/>
  <c r="C13" i="62"/>
  <c r="Q12" i="62"/>
  <c r="R12" i="62" s="1"/>
  <c r="C12" i="62"/>
  <c r="Q11" i="62"/>
  <c r="R11" i="62" s="1"/>
  <c r="C11" i="62"/>
  <c r="R10" i="62"/>
  <c r="Q10" i="62"/>
  <c r="C10" i="62"/>
  <c r="Q9" i="62"/>
  <c r="C9" i="62"/>
  <c r="Q8" i="62"/>
  <c r="C8" i="62"/>
  <c r="Q7" i="62"/>
  <c r="R7" i="62" s="1"/>
  <c r="C7" i="62"/>
  <c r="Q6" i="62"/>
  <c r="R6" i="62" s="1"/>
  <c r="C6" i="62"/>
  <c r="Q5" i="62"/>
  <c r="R5" i="62" s="1"/>
  <c r="C5" i="62"/>
  <c r="Q4" i="62"/>
  <c r="R4" i="62" s="1"/>
  <c r="C4" i="62"/>
  <c r="Q3" i="62"/>
  <c r="R3" i="62" s="1"/>
  <c r="C3" i="62"/>
  <c r="Q2" i="62"/>
  <c r="R2" i="62" s="1"/>
  <c r="P23" i="61"/>
  <c r="Q23" i="61"/>
  <c r="R23" i="61" s="1"/>
  <c r="P24" i="61"/>
  <c r="Q24" i="61"/>
  <c r="P25" i="61"/>
  <c r="Q25" i="61"/>
  <c r="R25" i="61" s="1"/>
  <c r="P26" i="61"/>
  <c r="Q26" i="61"/>
  <c r="R26" i="61"/>
  <c r="P27" i="61"/>
  <c r="R27" i="61" s="1"/>
  <c r="Q27" i="61"/>
  <c r="P28" i="61"/>
  <c r="Q28" i="61"/>
  <c r="P29" i="61"/>
  <c r="Q29" i="61"/>
  <c r="P30" i="61"/>
  <c r="Q30" i="61"/>
  <c r="P31" i="61"/>
  <c r="R31" i="61" s="1"/>
  <c r="Q31" i="61"/>
  <c r="P32" i="61"/>
  <c r="Q32" i="61"/>
  <c r="R32" i="61" s="1"/>
  <c r="P33" i="61"/>
  <c r="Q33" i="61"/>
  <c r="P34" i="61"/>
  <c r="R34" i="61" s="1"/>
  <c r="Q34" i="61"/>
  <c r="P35" i="61"/>
  <c r="R35" i="61" s="1"/>
  <c r="Q35" i="61"/>
  <c r="P36" i="61"/>
  <c r="Q36" i="61"/>
  <c r="R36" i="61" s="1"/>
  <c r="P37" i="61"/>
  <c r="Q37" i="61"/>
  <c r="Q16" i="61"/>
  <c r="P16" i="61"/>
  <c r="H16" i="61"/>
  <c r="E16" i="61"/>
  <c r="C16" i="61"/>
  <c r="Q15" i="61"/>
  <c r="P15" i="61"/>
  <c r="H15" i="61"/>
  <c r="E15" i="61"/>
  <c r="C15" i="61"/>
  <c r="Q14" i="61"/>
  <c r="R14" i="61" s="1"/>
  <c r="P14" i="61"/>
  <c r="H14" i="61"/>
  <c r="I14" i="61" s="1"/>
  <c r="J14" i="61" s="1"/>
  <c r="E14" i="61"/>
  <c r="F14" i="61" s="1"/>
  <c r="C14" i="61"/>
  <c r="Q13" i="61"/>
  <c r="P13" i="61"/>
  <c r="H13" i="61"/>
  <c r="E13" i="61"/>
  <c r="F13" i="61" s="1"/>
  <c r="C13" i="61"/>
  <c r="Q12" i="61"/>
  <c r="P12" i="61"/>
  <c r="H12" i="61"/>
  <c r="E12" i="61"/>
  <c r="C12" i="61"/>
  <c r="Q11" i="61"/>
  <c r="P11" i="61"/>
  <c r="H11" i="61"/>
  <c r="I11" i="61" s="1"/>
  <c r="E11" i="61"/>
  <c r="C11" i="61"/>
  <c r="Q10" i="61"/>
  <c r="R10" i="61" s="1"/>
  <c r="P10" i="61"/>
  <c r="H10" i="61"/>
  <c r="E10" i="61"/>
  <c r="F10" i="61" s="1"/>
  <c r="C10" i="61"/>
  <c r="Q9" i="61"/>
  <c r="P9" i="61"/>
  <c r="H9" i="61"/>
  <c r="E9" i="61"/>
  <c r="F9" i="61" s="1"/>
  <c r="C9" i="61"/>
  <c r="Q8" i="61"/>
  <c r="P8" i="61"/>
  <c r="H8" i="61"/>
  <c r="E8" i="61"/>
  <c r="C8" i="61"/>
  <c r="Q7" i="61"/>
  <c r="P7" i="61"/>
  <c r="H7" i="61"/>
  <c r="E7" i="61"/>
  <c r="C7" i="61"/>
  <c r="Q6" i="61"/>
  <c r="R6" i="61" s="1"/>
  <c r="P6" i="61"/>
  <c r="H6" i="61"/>
  <c r="I6" i="61" s="1"/>
  <c r="J6" i="61" s="1"/>
  <c r="E6" i="61"/>
  <c r="F6" i="61" s="1"/>
  <c r="C6" i="61"/>
  <c r="Q5" i="61"/>
  <c r="P5" i="61"/>
  <c r="H5" i="61"/>
  <c r="E5" i="61"/>
  <c r="F5" i="61" s="1"/>
  <c r="C5" i="61"/>
  <c r="Q4" i="61"/>
  <c r="P4" i="61"/>
  <c r="H4" i="61"/>
  <c r="E4" i="61"/>
  <c r="C4" i="61"/>
  <c r="Q3" i="61"/>
  <c r="P3" i="61"/>
  <c r="H3" i="61"/>
  <c r="I3" i="61" s="1"/>
  <c r="E3" i="61"/>
  <c r="C3" i="61"/>
  <c r="R2" i="61"/>
  <c r="Q2" i="61"/>
  <c r="P2" i="61"/>
  <c r="H2" i="61"/>
  <c r="Q37" i="60"/>
  <c r="P37" i="60"/>
  <c r="Q36" i="60"/>
  <c r="R36" i="60" s="1"/>
  <c r="P36" i="60"/>
  <c r="Q35" i="60"/>
  <c r="P35" i="60"/>
  <c r="Q34" i="60"/>
  <c r="R34" i="60" s="1"/>
  <c r="P34" i="60"/>
  <c r="Q33" i="60"/>
  <c r="P33" i="60"/>
  <c r="R32" i="60"/>
  <c r="Q32" i="60"/>
  <c r="P32" i="60"/>
  <c r="Q31" i="60"/>
  <c r="P31" i="60"/>
  <c r="Q30" i="60"/>
  <c r="P30" i="60"/>
  <c r="Q29" i="60"/>
  <c r="P29" i="60"/>
  <c r="Q28" i="60"/>
  <c r="P28" i="60"/>
  <c r="R28" i="60" s="1"/>
  <c r="Q27" i="60"/>
  <c r="R27" i="60" s="1"/>
  <c r="P27" i="60"/>
  <c r="Q26" i="60"/>
  <c r="P26" i="60"/>
  <c r="Q25" i="60"/>
  <c r="R25" i="60" s="1"/>
  <c r="P25" i="60"/>
  <c r="Q24" i="60"/>
  <c r="P24" i="60"/>
  <c r="R24" i="60" s="1"/>
  <c r="Q23" i="60"/>
  <c r="R23" i="60" s="1"/>
  <c r="P23" i="60"/>
  <c r="Q16" i="60"/>
  <c r="P16" i="60"/>
  <c r="H16" i="60"/>
  <c r="E16" i="60"/>
  <c r="C16" i="60"/>
  <c r="Q15" i="60"/>
  <c r="R15" i="60" s="1"/>
  <c r="P15" i="60"/>
  <c r="H15" i="60"/>
  <c r="E15" i="60"/>
  <c r="C15" i="60"/>
  <c r="Q14" i="60"/>
  <c r="R14" i="60" s="1"/>
  <c r="P14" i="60"/>
  <c r="H14" i="60"/>
  <c r="I14" i="60" s="1"/>
  <c r="J14" i="60" s="1"/>
  <c r="E14" i="60"/>
  <c r="F14" i="60" s="1"/>
  <c r="C14" i="60"/>
  <c r="Q13" i="60"/>
  <c r="P13" i="60"/>
  <c r="H13" i="60"/>
  <c r="E13" i="60"/>
  <c r="F13" i="60" s="1"/>
  <c r="C13" i="60"/>
  <c r="Q12" i="60"/>
  <c r="P12" i="60"/>
  <c r="H12" i="60"/>
  <c r="E12" i="60"/>
  <c r="C12" i="60"/>
  <c r="Q11" i="60"/>
  <c r="R11" i="60" s="1"/>
  <c r="P11" i="60"/>
  <c r="H11" i="60"/>
  <c r="I11" i="60" s="1"/>
  <c r="E11" i="60"/>
  <c r="C11" i="60"/>
  <c r="Q10" i="60"/>
  <c r="R10" i="60" s="1"/>
  <c r="P10" i="60"/>
  <c r="H10" i="60"/>
  <c r="E10" i="60"/>
  <c r="F10" i="60" s="1"/>
  <c r="C10" i="60"/>
  <c r="Q9" i="60"/>
  <c r="P9" i="60"/>
  <c r="H9" i="60"/>
  <c r="E9" i="60"/>
  <c r="F9" i="60" s="1"/>
  <c r="C9" i="60"/>
  <c r="Q8" i="60"/>
  <c r="P8" i="60"/>
  <c r="H8" i="60"/>
  <c r="I8" i="60" s="1"/>
  <c r="E8" i="60"/>
  <c r="C8" i="60"/>
  <c r="Q7" i="60"/>
  <c r="R7" i="60" s="1"/>
  <c r="P7" i="60"/>
  <c r="H7" i="60"/>
  <c r="E7" i="60"/>
  <c r="C7" i="60"/>
  <c r="Q6" i="60"/>
  <c r="R6" i="60" s="1"/>
  <c r="P6" i="60"/>
  <c r="H6" i="60"/>
  <c r="I6" i="60" s="1"/>
  <c r="J6" i="60" s="1"/>
  <c r="F6" i="60"/>
  <c r="E6" i="60"/>
  <c r="C6" i="60"/>
  <c r="Q5" i="60"/>
  <c r="P5" i="60"/>
  <c r="H5" i="60"/>
  <c r="E5" i="60"/>
  <c r="F5" i="60" s="1"/>
  <c r="C5" i="60"/>
  <c r="Q4" i="60"/>
  <c r="R4" i="60" s="1"/>
  <c r="P4" i="60"/>
  <c r="H4" i="60"/>
  <c r="E4" i="60"/>
  <c r="C4" i="60"/>
  <c r="Q3" i="60"/>
  <c r="R3" i="60" s="1"/>
  <c r="P3" i="60"/>
  <c r="H3" i="60"/>
  <c r="I3" i="60" s="1"/>
  <c r="E3" i="60"/>
  <c r="C3" i="60"/>
  <c r="Q2" i="60"/>
  <c r="P2" i="60"/>
  <c r="R2" i="60" s="1"/>
  <c r="H2" i="60"/>
  <c r="Q37" i="59"/>
  <c r="P37" i="59"/>
  <c r="Q36" i="59"/>
  <c r="P36" i="59"/>
  <c r="Q35" i="59"/>
  <c r="R35" i="59" s="1"/>
  <c r="P35" i="59"/>
  <c r="Q34" i="59"/>
  <c r="P34" i="59"/>
  <c r="Q33" i="59"/>
  <c r="P33" i="59"/>
  <c r="R33" i="59" s="1"/>
  <c r="Q32" i="59"/>
  <c r="P32" i="59"/>
  <c r="Q31" i="59"/>
  <c r="P31" i="59"/>
  <c r="Q30" i="59"/>
  <c r="P30" i="59"/>
  <c r="Q29" i="59"/>
  <c r="P29" i="59"/>
  <c r="Q28" i="59"/>
  <c r="P28" i="59"/>
  <c r="Q27" i="59"/>
  <c r="P27" i="59"/>
  <c r="Q26" i="59"/>
  <c r="P26" i="59"/>
  <c r="Q25" i="59"/>
  <c r="P25" i="59"/>
  <c r="Q24" i="59"/>
  <c r="P24" i="59"/>
  <c r="Q23" i="59"/>
  <c r="P23" i="59"/>
  <c r="Q16" i="59"/>
  <c r="P16" i="59"/>
  <c r="H16" i="59"/>
  <c r="E16" i="59"/>
  <c r="C16" i="59"/>
  <c r="F16" i="59" s="1"/>
  <c r="Q15" i="59"/>
  <c r="R15" i="59" s="1"/>
  <c r="P15" i="59"/>
  <c r="H15" i="59"/>
  <c r="E15" i="59"/>
  <c r="C15" i="59"/>
  <c r="Q14" i="59"/>
  <c r="P14" i="59"/>
  <c r="H14" i="59"/>
  <c r="I15" i="59" s="1"/>
  <c r="E14" i="59"/>
  <c r="C14" i="59"/>
  <c r="Q13" i="59"/>
  <c r="P13" i="59"/>
  <c r="H13" i="59"/>
  <c r="I13" i="59" s="1"/>
  <c r="E13" i="59"/>
  <c r="C13" i="59"/>
  <c r="Q12" i="59"/>
  <c r="P12" i="59"/>
  <c r="H12" i="59"/>
  <c r="E12" i="59"/>
  <c r="C12" i="59"/>
  <c r="Q11" i="59"/>
  <c r="P11" i="59"/>
  <c r="H11" i="59"/>
  <c r="E11" i="59"/>
  <c r="F11" i="59" s="1"/>
  <c r="C11" i="59"/>
  <c r="Q10" i="59"/>
  <c r="P10" i="59"/>
  <c r="H10" i="59"/>
  <c r="E10" i="59"/>
  <c r="C10" i="59"/>
  <c r="Q9" i="59"/>
  <c r="P9" i="59"/>
  <c r="H9" i="59"/>
  <c r="E9" i="59"/>
  <c r="C9" i="59"/>
  <c r="Q8" i="59"/>
  <c r="P8" i="59"/>
  <c r="H8" i="59"/>
  <c r="I8" i="59" s="1"/>
  <c r="E8" i="59"/>
  <c r="C8" i="59"/>
  <c r="F8" i="59" s="1"/>
  <c r="Q7" i="59"/>
  <c r="P7" i="59"/>
  <c r="H7" i="59"/>
  <c r="E7" i="59"/>
  <c r="C7" i="59"/>
  <c r="Q6" i="59"/>
  <c r="P6" i="59"/>
  <c r="H6" i="59"/>
  <c r="E6" i="59"/>
  <c r="C6" i="59"/>
  <c r="Q5" i="59"/>
  <c r="P5" i="59"/>
  <c r="H5" i="59"/>
  <c r="E5" i="59"/>
  <c r="C5" i="59"/>
  <c r="Q4" i="59"/>
  <c r="P4" i="59"/>
  <c r="H4" i="59"/>
  <c r="E4" i="59"/>
  <c r="C4" i="59"/>
  <c r="Q3" i="59"/>
  <c r="P3" i="59"/>
  <c r="H3" i="59"/>
  <c r="E3" i="59"/>
  <c r="C3" i="59"/>
  <c r="Q2" i="59"/>
  <c r="P2" i="59"/>
  <c r="H2" i="59"/>
  <c r="H2" i="58"/>
  <c r="P2" i="58"/>
  <c r="Q2" i="58"/>
  <c r="E3" i="58"/>
  <c r="F3" i="58" s="1"/>
  <c r="G3" i="58" s="1"/>
  <c r="G4" i="58" s="1"/>
  <c r="G5" i="58" s="1"/>
  <c r="G6" i="58" s="1"/>
  <c r="G7" i="58" s="1"/>
  <c r="G8" i="58" s="1"/>
  <c r="G9" i="58" s="1"/>
  <c r="G10" i="58" s="1"/>
  <c r="G11" i="58" s="1"/>
  <c r="G12" i="58" s="1"/>
  <c r="G13" i="58" s="1"/>
  <c r="G14" i="58" s="1"/>
  <c r="G15" i="58" s="1"/>
  <c r="H3" i="58"/>
  <c r="I3" i="58"/>
  <c r="J3" i="58"/>
  <c r="K3" i="58" s="1"/>
  <c r="K4" i="58" s="1"/>
  <c r="K5" i="58" s="1"/>
  <c r="K6" i="58" s="1"/>
  <c r="K7" i="58" s="1"/>
  <c r="K8" i="58" s="1"/>
  <c r="K9" i="58" s="1"/>
  <c r="K10" i="58" s="1"/>
  <c r="K11" i="58" s="1"/>
  <c r="K12" i="58" s="1"/>
  <c r="P3" i="58"/>
  <c r="Q3" i="58"/>
  <c r="E4" i="58"/>
  <c r="F4" i="58" s="1"/>
  <c r="H4" i="58"/>
  <c r="I4" i="58"/>
  <c r="J4" i="58"/>
  <c r="P4" i="58"/>
  <c r="Q4" i="58"/>
  <c r="E5" i="58"/>
  <c r="F5" i="58" s="1"/>
  <c r="H5" i="58"/>
  <c r="I5" i="58"/>
  <c r="J5" i="58"/>
  <c r="P5" i="58"/>
  <c r="Q5" i="58"/>
  <c r="E6" i="58"/>
  <c r="F6" i="58" s="1"/>
  <c r="H6" i="58"/>
  <c r="I6" i="58"/>
  <c r="J6" i="58"/>
  <c r="P6" i="58"/>
  <c r="Q6" i="58"/>
  <c r="E7" i="58"/>
  <c r="F7" i="58"/>
  <c r="H7" i="58"/>
  <c r="I7" i="58" s="1"/>
  <c r="J7" i="58" s="1"/>
  <c r="P7" i="58"/>
  <c r="Q7" i="58"/>
  <c r="E8" i="58"/>
  <c r="F8" i="58"/>
  <c r="H8" i="58"/>
  <c r="I8" i="58" s="1"/>
  <c r="J8" i="58" s="1"/>
  <c r="P8" i="58"/>
  <c r="Q8" i="58"/>
  <c r="E9" i="58"/>
  <c r="F9" i="58"/>
  <c r="H9" i="58"/>
  <c r="I9" i="58"/>
  <c r="J9" i="58" s="1"/>
  <c r="P9" i="58"/>
  <c r="Q9" i="58"/>
  <c r="E10" i="58"/>
  <c r="F10" i="58" s="1"/>
  <c r="H10" i="58"/>
  <c r="I10" i="58"/>
  <c r="J10" i="58"/>
  <c r="P10" i="58"/>
  <c r="Q10" i="58"/>
  <c r="E11" i="58"/>
  <c r="F11" i="58"/>
  <c r="H11" i="58"/>
  <c r="I11" i="58"/>
  <c r="J11" i="58"/>
  <c r="P11" i="58"/>
  <c r="Q11" i="58"/>
  <c r="E12" i="58"/>
  <c r="F12" i="58"/>
  <c r="H12" i="58"/>
  <c r="I12" i="58" s="1"/>
  <c r="J12" i="58" s="1"/>
  <c r="P12" i="58"/>
  <c r="Q12" i="58"/>
  <c r="E13" i="58"/>
  <c r="F13" i="58"/>
  <c r="H13" i="58"/>
  <c r="I14" i="58" s="1"/>
  <c r="J14" i="58" s="1"/>
  <c r="I13" i="58"/>
  <c r="J13" i="58" s="1"/>
  <c r="P13" i="58"/>
  <c r="Q13" i="58"/>
  <c r="E14" i="58"/>
  <c r="F14" i="58"/>
  <c r="H14" i="58"/>
  <c r="P14" i="58"/>
  <c r="Q14" i="58"/>
  <c r="E15" i="58"/>
  <c r="F15" i="58"/>
  <c r="H15" i="58"/>
  <c r="I15" i="58" s="1"/>
  <c r="J15" i="58" s="1"/>
  <c r="P15" i="58"/>
  <c r="R15" i="58" s="1"/>
  <c r="Q15" i="58"/>
  <c r="Q39" i="58"/>
  <c r="P39" i="58"/>
  <c r="Q38" i="58"/>
  <c r="P38" i="58"/>
  <c r="R38" i="58" s="1"/>
  <c r="Q37" i="58"/>
  <c r="R37" i="58" s="1"/>
  <c r="P37" i="58"/>
  <c r="Q36" i="58"/>
  <c r="P36" i="58"/>
  <c r="Q35" i="58"/>
  <c r="R35" i="58" s="1"/>
  <c r="P35" i="58"/>
  <c r="Q34" i="58"/>
  <c r="P34" i="58"/>
  <c r="Q33" i="58"/>
  <c r="R33" i="58" s="1"/>
  <c r="P33" i="58"/>
  <c r="Q32" i="58"/>
  <c r="P32" i="58"/>
  <c r="Q31" i="58"/>
  <c r="R31" i="58" s="1"/>
  <c r="P31" i="58"/>
  <c r="Q30" i="58"/>
  <c r="P30" i="58"/>
  <c r="R30" i="58" s="1"/>
  <c r="Q29" i="58"/>
  <c r="R29" i="58" s="1"/>
  <c r="P29" i="58"/>
  <c r="Q28" i="58"/>
  <c r="P28" i="58"/>
  <c r="Q27" i="58"/>
  <c r="R27" i="58" s="1"/>
  <c r="P27" i="58"/>
  <c r="Q26" i="58"/>
  <c r="P26" i="58"/>
  <c r="Q25" i="58"/>
  <c r="R25" i="58" s="1"/>
  <c r="P25" i="58"/>
  <c r="Q24" i="58"/>
  <c r="P24" i="58"/>
  <c r="Q17" i="58"/>
  <c r="R17" i="58" s="1"/>
  <c r="P17" i="58"/>
  <c r="H17" i="58"/>
  <c r="I17" i="58" s="1"/>
  <c r="E17" i="58"/>
  <c r="C17" i="58"/>
  <c r="Q16" i="58"/>
  <c r="R16" i="58" s="1"/>
  <c r="P16" i="58"/>
  <c r="H16" i="58"/>
  <c r="E16" i="58"/>
  <c r="C16" i="58"/>
  <c r="C15" i="58"/>
  <c r="C14" i="58"/>
  <c r="R13" i="58"/>
  <c r="C13" i="58"/>
  <c r="R12" i="58"/>
  <c r="C12" i="58"/>
  <c r="C11" i="58"/>
  <c r="R10" i="58"/>
  <c r="C10" i="58"/>
  <c r="R9" i="58"/>
  <c r="C9" i="58"/>
  <c r="R8" i="58"/>
  <c r="C8" i="58"/>
  <c r="C7" i="58"/>
  <c r="R6" i="58"/>
  <c r="C6" i="58"/>
  <c r="R5" i="58"/>
  <c r="C5" i="58"/>
  <c r="R4" i="58"/>
  <c r="C4" i="58"/>
  <c r="R3" i="58"/>
  <c r="C3" i="58"/>
  <c r="R2" i="58"/>
  <c r="H2" i="57"/>
  <c r="P2" i="57"/>
  <c r="R2" i="57" s="1"/>
  <c r="Q2" i="57"/>
  <c r="E3" i="57"/>
  <c r="F3" i="57" s="1"/>
  <c r="G3" i="57" s="1"/>
  <c r="G4" i="57" s="1"/>
  <c r="G5" i="57" s="1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H3" i="57"/>
  <c r="I3" i="57"/>
  <c r="J3" i="57"/>
  <c r="K3" i="57" s="1"/>
  <c r="P3" i="57"/>
  <c r="Q3" i="57"/>
  <c r="E4" i="57"/>
  <c r="F4" i="57"/>
  <c r="H4" i="57"/>
  <c r="I4" i="57" s="1"/>
  <c r="J4" i="57" s="1"/>
  <c r="P4" i="57"/>
  <c r="Q4" i="57"/>
  <c r="E5" i="57"/>
  <c r="F5" i="57"/>
  <c r="H5" i="57"/>
  <c r="I5" i="57" s="1"/>
  <c r="J5" i="57" s="1"/>
  <c r="P5" i="57"/>
  <c r="Q5" i="57"/>
  <c r="E6" i="57"/>
  <c r="F6" i="57"/>
  <c r="H6" i="57"/>
  <c r="I6" i="57"/>
  <c r="J6" i="57" s="1"/>
  <c r="P6" i="57"/>
  <c r="Q6" i="57"/>
  <c r="E7" i="57"/>
  <c r="F7" i="57" s="1"/>
  <c r="H7" i="57"/>
  <c r="I7" i="57"/>
  <c r="J7" i="57"/>
  <c r="P7" i="57"/>
  <c r="Q7" i="57"/>
  <c r="E8" i="57"/>
  <c r="F8" i="57"/>
  <c r="H8" i="57"/>
  <c r="I8" i="57" s="1"/>
  <c r="J8" i="57" s="1"/>
  <c r="P8" i="57"/>
  <c r="Q8" i="57"/>
  <c r="E9" i="57"/>
  <c r="F9" i="57"/>
  <c r="H9" i="57"/>
  <c r="I9" i="57" s="1"/>
  <c r="J9" i="57" s="1"/>
  <c r="P9" i="57"/>
  <c r="Q9" i="57"/>
  <c r="E10" i="57"/>
  <c r="F10" i="57"/>
  <c r="H10" i="57"/>
  <c r="P10" i="57"/>
  <c r="Q10" i="57"/>
  <c r="E11" i="57"/>
  <c r="F11" i="57" s="1"/>
  <c r="H11" i="57"/>
  <c r="I11" i="57"/>
  <c r="J11" i="57"/>
  <c r="P11" i="57"/>
  <c r="Q11" i="57"/>
  <c r="E12" i="57"/>
  <c r="F12" i="57"/>
  <c r="H12" i="57"/>
  <c r="I12" i="57" s="1"/>
  <c r="J12" i="57" s="1"/>
  <c r="P12" i="57"/>
  <c r="Q12" i="57"/>
  <c r="E13" i="57"/>
  <c r="F13" i="57" s="1"/>
  <c r="H13" i="57"/>
  <c r="I13" i="57"/>
  <c r="J13" i="57" s="1"/>
  <c r="P13" i="57"/>
  <c r="Q13" i="57"/>
  <c r="E14" i="57"/>
  <c r="F14" i="57" s="1"/>
  <c r="H14" i="57"/>
  <c r="I14" i="57"/>
  <c r="J14" i="57"/>
  <c r="P14" i="57"/>
  <c r="Q14" i="57"/>
  <c r="R14" i="57" s="1"/>
  <c r="E15" i="57"/>
  <c r="F15" i="57"/>
  <c r="H15" i="57"/>
  <c r="I15" i="57" s="1"/>
  <c r="J15" i="57" s="1"/>
  <c r="P15" i="57"/>
  <c r="Q15" i="57"/>
  <c r="Q39" i="57"/>
  <c r="R39" i="57" s="1"/>
  <c r="P39" i="57"/>
  <c r="Q38" i="57"/>
  <c r="P38" i="57"/>
  <c r="R38" i="57" s="1"/>
  <c r="Q37" i="57"/>
  <c r="P37" i="57"/>
  <c r="Q36" i="57"/>
  <c r="P36" i="57"/>
  <c r="Q35" i="57"/>
  <c r="P35" i="57"/>
  <c r="Q34" i="57"/>
  <c r="P34" i="57"/>
  <c r="Q33" i="57"/>
  <c r="P33" i="57"/>
  <c r="Q32" i="57"/>
  <c r="P32" i="57"/>
  <c r="Q31" i="57"/>
  <c r="P31" i="57"/>
  <c r="Q30" i="57"/>
  <c r="P30" i="57"/>
  <c r="R30" i="57" s="1"/>
  <c r="Q29" i="57"/>
  <c r="R29" i="57" s="1"/>
  <c r="P29" i="57"/>
  <c r="Q28" i="57"/>
  <c r="R28" i="57" s="1"/>
  <c r="P28" i="57"/>
  <c r="Q27" i="57"/>
  <c r="R27" i="57" s="1"/>
  <c r="P27" i="57"/>
  <c r="Q26" i="57"/>
  <c r="R26" i="57" s="1"/>
  <c r="P26" i="57"/>
  <c r="Q25" i="57"/>
  <c r="R25" i="57" s="1"/>
  <c r="P25" i="57"/>
  <c r="Q24" i="57"/>
  <c r="R24" i="57" s="1"/>
  <c r="P24" i="57"/>
  <c r="Q17" i="57"/>
  <c r="R17" i="57" s="1"/>
  <c r="P17" i="57"/>
  <c r="H17" i="57"/>
  <c r="I17" i="57" s="1"/>
  <c r="E17" i="57"/>
  <c r="C17" i="57"/>
  <c r="Q16" i="57"/>
  <c r="P16" i="57"/>
  <c r="H16" i="57"/>
  <c r="I16" i="57" s="1"/>
  <c r="E16" i="57"/>
  <c r="C16" i="57"/>
  <c r="R15" i="57"/>
  <c r="C15" i="57"/>
  <c r="C14" i="57"/>
  <c r="R13" i="57"/>
  <c r="C13" i="57"/>
  <c r="R12" i="57"/>
  <c r="C12" i="57"/>
  <c r="C11" i="57"/>
  <c r="R10" i="57"/>
  <c r="C10" i="57"/>
  <c r="R9" i="57"/>
  <c r="C9" i="57"/>
  <c r="C8" i="57"/>
  <c r="C7" i="57"/>
  <c r="R6" i="57"/>
  <c r="C6" i="57"/>
  <c r="C5" i="57"/>
  <c r="R4" i="57"/>
  <c r="C4" i="57"/>
  <c r="R3" i="57"/>
  <c r="C3" i="57"/>
  <c r="P24" i="56"/>
  <c r="Q24" i="56"/>
  <c r="R24" i="56"/>
  <c r="P25" i="56"/>
  <c r="R25" i="56" s="1"/>
  <c r="Q25" i="56"/>
  <c r="P26" i="56"/>
  <c r="Q26" i="56"/>
  <c r="R26" i="56" s="1"/>
  <c r="P27" i="56"/>
  <c r="R27" i="56" s="1"/>
  <c r="Q27" i="56"/>
  <c r="P28" i="56"/>
  <c r="Q28" i="56"/>
  <c r="P29" i="56"/>
  <c r="Q29" i="56"/>
  <c r="P30" i="56"/>
  <c r="Q30" i="56"/>
  <c r="P31" i="56"/>
  <c r="Q31" i="56"/>
  <c r="R31" i="56"/>
  <c r="P32" i="56"/>
  <c r="R32" i="56" s="1"/>
  <c r="Q32" i="56"/>
  <c r="P33" i="56"/>
  <c r="R33" i="56" s="1"/>
  <c r="Q33" i="56"/>
  <c r="P34" i="56"/>
  <c r="Q34" i="56"/>
  <c r="R34" i="56" s="1"/>
  <c r="P35" i="56"/>
  <c r="R35" i="56" s="1"/>
  <c r="Q35" i="56"/>
  <c r="P36" i="56"/>
  <c r="Q36" i="56"/>
  <c r="R36" i="56" s="1"/>
  <c r="P37" i="56"/>
  <c r="Q37" i="56"/>
  <c r="P38" i="56"/>
  <c r="Q38" i="56"/>
  <c r="R38" i="56" s="1"/>
  <c r="P39" i="56"/>
  <c r="R39" i="56" s="1"/>
  <c r="Q39" i="56"/>
  <c r="H2" i="56"/>
  <c r="P2" i="56"/>
  <c r="Q2" i="56"/>
  <c r="E3" i="56"/>
  <c r="F3" i="56" s="1"/>
  <c r="G3" i="56" s="1"/>
  <c r="G4" i="56" s="1"/>
  <c r="G5" i="56" s="1"/>
  <c r="G6" i="56" s="1"/>
  <c r="G7" i="56" s="1"/>
  <c r="G8" i="56" s="1"/>
  <c r="G9" i="56" s="1"/>
  <c r="G10" i="56" s="1"/>
  <c r="G11" i="56" s="1"/>
  <c r="G12" i="56" s="1"/>
  <c r="G13" i="56" s="1"/>
  <c r="G14" i="56" s="1"/>
  <c r="G15" i="56" s="1"/>
  <c r="H3" i="56"/>
  <c r="I3" i="56"/>
  <c r="J3" i="56" s="1"/>
  <c r="K3" i="56" s="1"/>
  <c r="P3" i="56"/>
  <c r="Q3" i="56"/>
  <c r="E4" i="56"/>
  <c r="F4" i="56" s="1"/>
  <c r="H4" i="56"/>
  <c r="I4" i="56" s="1"/>
  <c r="J4" i="56" s="1"/>
  <c r="P4" i="56"/>
  <c r="Q4" i="56"/>
  <c r="R4" i="56" s="1"/>
  <c r="E5" i="56"/>
  <c r="F5" i="56"/>
  <c r="H5" i="56"/>
  <c r="I5" i="56" s="1"/>
  <c r="J5" i="56" s="1"/>
  <c r="P5" i="56"/>
  <c r="Q5" i="56"/>
  <c r="E6" i="56"/>
  <c r="F6" i="56"/>
  <c r="H6" i="56"/>
  <c r="I6" i="56" s="1"/>
  <c r="J6" i="56" s="1"/>
  <c r="P6" i="56"/>
  <c r="R6" i="56" s="1"/>
  <c r="Q6" i="56"/>
  <c r="E7" i="56"/>
  <c r="F7" i="56" s="1"/>
  <c r="H7" i="56"/>
  <c r="P7" i="56"/>
  <c r="R7" i="56" s="1"/>
  <c r="Q7" i="56"/>
  <c r="E8" i="56"/>
  <c r="F8" i="56" s="1"/>
  <c r="H8" i="56"/>
  <c r="I8" i="56" s="1"/>
  <c r="J8" i="56" s="1"/>
  <c r="P8" i="56"/>
  <c r="R8" i="56" s="1"/>
  <c r="Q8" i="56"/>
  <c r="E9" i="56"/>
  <c r="F9" i="56"/>
  <c r="H9" i="56"/>
  <c r="I9" i="56" s="1"/>
  <c r="J9" i="56" s="1"/>
  <c r="P9" i="56"/>
  <c r="Q9" i="56"/>
  <c r="R9" i="56" s="1"/>
  <c r="E10" i="56"/>
  <c r="F10" i="56"/>
  <c r="H10" i="56"/>
  <c r="P10" i="56"/>
  <c r="Q10" i="56"/>
  <c r="R10" i="56" s="1"/>
  <c r="E11" i="56"/>
  <c r="F11" i="56" s="1"/>
  <c r="H11" i="56"/>
  <c r="I11" i="56"/>
  <c r="J11" i="56" s="1"/>
  <c r="P11" i="56"/>
  <c r="R11" i="56" s="1"/>
  <c r="Q11" i="56"/>
  <c r="E12" i="56"/>
  <c r="F12" i="56" s="1"/>
  <c r="H12" i="56"/>
  <c r="I12" i="56" s="1"/>
  <c r="J12" i="56" s="1"/>
  <c r="P12" i="56"/>
  <c r="Q12" i="56"/>
  <c r="E13" i="56"/>
  <c r="F13" i="56"/>
  <c r="H13" i="56"/>
  <c r="I13" i="56" s="1"/>
  <c r="J13" i="56" s="1"/>
  <c r="P13" i="56"/>
  <c r="R13" i="56" s="1"/>
  <c r="Q13" i="56"/>
  <c r="E14" i="56"/>
  <c r="F14" i="56"/>
  <c r="H14" i="56"/>
  <c r="P14" i="56"/>
  <c r="Q14" i="56"/>
  <c r="E15" i="56"/>
  <c r="F15" i="56" s="1"/>
  <c r="H15" i="56"/>
  <c r="I15" i="56"/>
  <c r="J15" i="56" s="1"/>
  <c r="P15" i="56"/>
  <c r="Q15" i="56"/>
  <c r="R15" i="56" s="1"/>
  <c r="Q17" i="56"/>
  <c r="R17" i="56" s="1"/>
  <c r="P17" i="56"/>
  <c r="H17" i="56"/>
  <c r="I17" i="56" s="1"/>
  <c r="J17" i="56" s="1"/>
  <c r="E17" i="56"/>
  <c r="C17" i="56"/>
  <c r="F17" i="56" s="1"/>
  <c r="Q16" i="56"/>
  <c r="P16" i="56"/>
  <c r="H16" i="56"/>
  <c r="E16" i="56"/>
  <c r="F16" i="56" s="1"/>
  <c r="C16" i="56"/>
  <c r="C15" i="56"/>
  <c r="R14" i="56"/>
  <c r="C14" i="56"/>
  <c r="C13" i="56"/>
  <c r="R12" i="56"/>
  <c r="C12" i="56"/>
  <c r="C11" i="56"/>
  <c r="C10" i="56"/>
  <c r="C9" i="56"/>
  <c r="C8" i="56"/>
  <c r="C7" i="56"/>
  <c r="C6" i="56"/>
  <c r="R5" i="56"/>
  <c r="C5" i="56"/>
  <c r="C4" i="56"/>
  <c r="C3" i="56"/>
  <c r="R2" i="56"/>
  <c r="P24" i="55"/>
  <c r="R24" i="55" s="1"/>
  <c r="Q24" i="55"/>
  <c r="P25" i="55"/>
  <c r="Q25" i="55"/>
  <c r="R25" i="55" s="1"/>
  <c r="P26" i="55"/>
  <c r="Q26" i="55"/>
  <c r="R26" i="55" s="1"/>
  <c r="P27" i="55"/>
  <c r="Q27" i="55"/>
  <c r="R27" i="55" s="1"/>
  <c r="P28" i="55"/>
  <c r="Q28" i="55"/>
  <c r="R28" i="55" s="1"/>
  <c r="P29" i="55"/>
  <c r="Q29" i="55"/>
  <c r="P30" i="55"/>
  <c r="Q30" i="55"/>
  <c r="R30" i="55" s="1"/>
  <c r="P31" i="55"/>
  <c r="Q31" i="55"/>
  <c r="R31" i="55"/>
  <c r="P32" i="55"/>
  <c r="Q32" i="55"/>
  <c r="R32" i="55"/>
  <c r="P33" i="55"/>
  <c r="R33" i="55" s="1"/>
  <c r="Q33" i="55"/>
  <c r="P34" i="55"/>
  <c r="Q34" i="55"/>
  <c r="R34" i="55" s="1"/>
  <c r="P35" i="55"/>
  <c r="Q35" i="55"/>
  <c r="R35" i="55" s="1"/>
  <c r="P36" i="55"/>
  <c r="Q36" i="55"/>
  <c r="R36" i="55" s="1"/>
  <c r="P37" i="55"/>
  <c r="Q37" i="55"/>
  <c r="P38" i="55"/>
  <c r="Q38" i="55"/>
  <c r="R38" i="55" s="1"/>
  <c r="P39" i="55"/>
  <c r="R39" i="55" s="1"/>
  <c r="Q39" i="55"/>
  <c r="Q17" i="55"/>
  <c r="R17" i="55" s="1"/>
  <c r="P17" i="55"/>
  <c r="Q16" i="55"/>
  <c r="P16" i="55"/>
  <c r="Q15" i="55"/>
  <c r="R15" i="55" s="1"/>
  <c r="P15" i="55"/>
  <c r="Q14" i="55"/>
  <c r="P14" i="55"/>
  <c r="Q13" i="55"/>
  <c r="R13" i="55" s="1"/>
  <c r="P13" i="55"/>
  <c r="Q12" i="55"/>
  <c r="P12" i="55"/>
  <c r="Q11" i="55"/>
  <c r="P11" i="55"/>
  <c r="Q10" i="55"/>
  <c r="P10" i="55"/>
  <c r="Q9" i="55"/>
  <c r="R9" i="55" s="1"/>
  <c r="P9" i="55"/>
  <c r="R8" i="55"/>
  <c r="Q8" i="55"/>
  <c r="P8" i="55"/>
  <c r="Q7" i="55"/>
  <c r="P7" i="55"/>
  <c r="Q6" i="55"/>
  <c r="R6" i="55" s="1"/>
  <c r="P6" i="55"/>
  <c r="Q5" i="55"/>
  <c r="P5" i="55"/>
  <c r="Q4" i="55"/>
  <c r="R4" i="55" s="1"/>
  <c r="P4" i="55"/>
  <c r="Q3" i="55"/>
  <c r="P3" i="55"/>
  <c r="Q2" i="55"/>
  <c r="R2" i="55" s="1"/>
  <c r="P2" i="55"/>
  <c r="H2" i="55"/>
  <c r="E3" i="55"/>
  <c r="F3" i="55"/>
  <c r="G3" i="55"/>
  <c r="G4" i="55" s="1"/>
  <c r="G5" i="55" s="1"/>
  <c r="G6" i="55" s="1"/>
  <c r="G7" i="55" s="1"/>
  <c r="G8" i="55" s="1"/>
  <c r="G9" i="55" s="1"/>
  <c r="G10" i="55" s="1"/>
  <c r="G11" i="55" s="1"/>
  <c r="G12" i="55" s="1"/>
  <c r="G13" i="55" s="1"/>
  <c r="G14" i="55" s="1"/>
  <c r="G15" i="55" s="1"/>
  <c r="H3" i="55"/>
  <c r="I3" i="55"/>
  <c r="J3" i="55" s="1"/>
  <c r="K3" i="55" s="1"/>
  <c r="E4" i="55"/>
  <c r="F4" i="55"/>
  <c r="H4" i="55"/>
  <c r="I4" i="55"/>
  <c r="J4" i="55"/>
  <c r="E5" i="55"/>
  <c r="F5" i="55"/>
  <c r="H5" i="55"/>
  <c r="I5" i="55"/>
  <c r="J5" i="55" s="1"/>
  <c r="E6" i="55"/>
  <c r="F6" i="55"/>
  <c r="H6" i="55"/>
  <c r="I6" i="55" s="1"/>
  <c r="J6" i="55" s="1"/>
  <c r="E7" i="55"/>
  <c r="F7" i="55"/>
  <c r="H7" i="55"/>
  <c r="E8" i="55"/>
  <c r="F8" i="55" s="1"/>
  <c r="H8" i="55"/>
  <c r="I8" i="55"/>
  <c r="J8" i="55"/>
  <c r="E9" i="55"/>
  <c r="F9" i="55" s="1"/>
  <c r="H9" i="55"/>
  <c r="I9" i="55"/>
  <c r="J9" i="55" s="1"/>
  <c r="E10" i="55"/>
  <c r="F10" i="55"/>
  <c r="H10" i="55"/>
  <c r="I10" i="55" s="1"/>
  <c r="J10" i="55" s="1"/>
  <c r="E11" i="55"/>
  <c r="F11" i="55"/>
  <c r="H11" i="55"/>
  <c r="E12" i="55"/>
  <c r="F12" i="55" s="1"/>
  <c r="H12" i="55"/>
  <c r="I12" i="55"/>
  <c r="J12" i="55"/>
  <c r="E13" i="55"/>
  <c r="F13" i="55"/>
  <c r="H13" i="55"/>
  <c r="I13" i="55"/>
  <c r="J13" i="55" s="1"/>
  <c r="E14" i="55"/>
  <c r="F14" i="55"/>
  <c r="H14" i="55"/>
  <c r="I14" i="55" s="1"/>
  <c r="J14" i="55" s="1"/>
  <c r="E15" i="55"/>
  <c r="F15" i="55"/>
  <c r="H15" i="55"/>
  <c r="H17" i="55"/>
  <c r="E17" i="55"/>
  <c r="C17" i="55"/>
  <c r="H16" i="55"/>
  <c r="I16" i="55" s="1"/>
  <c r="E16" i="55"/>
  <c r="C16" i="55"/>
  <c r="C15" i="55"/>
  <c r="C14" i="55"/>
  <c r="C13" i="55"/>
  <c r="C12" i="55"/>
  <c r="C11" i="55"/>
  <c r="C10" i="55"/>
  <c r="C9" i="55"/>
  <c r="C8" i="55"/>
  <c r="C7" i="55"/>
  <c r="C6" i="55"/>
  <c r="C5" i="55"/>
  <c r="C4" i="55"/>
  <c r="C3" i="55"/>
  <c r="P24" i="54"/>
  <c r="Q24" i="54"/>
  <c r="R24" i="54"/>
  <c r="P25" i="54"/>
  <c r="Q25" i="54"/>
  <c r="P26" i="54"/>
  <c r="Q26" i="54"/>
  <c r="P27" i="54"/>
  <c r="Q27" i="54"/>
  <c r="R27" i="54"/>
  <c r="P28" i="54"/>
  <c r="R28" i="54" s="1"/>
  <c r="Q28" i="54"/>
  <c r="P29" i="54"/>
  <c r="Q29" i="54"/>
  <c r="P30" i="54"/>
  <c r="Q30" i="54"/>
  <c r="R30" i="54" s="1"/>
  <c r="P31" i="54"/>
  <c r="Q31" i="54"/>
  <c r="R31" i="54"/>
  <c r="P32" i="54"/>
  <c r="R32" i="54" s="1"/>
  <c r="Q32" i="54"/>
  <c r="P33" i="54"/>
  <c r="Q33" i="54"/>
  <c r="P34" i="54"/>
  <c r="Q34" i="54"/>
  <c r="R34" i="54" s="1"/>
  <c r="P35" i="54"/>
  <c r="Q35" i="54"/>
  <c r="P36" i="54"/>
  <c r="Q36" i="54"/>
  <c r="P37" i="54"/>
  <c r="Q37" i="54"/>
  <c r="R37" i="54" s="1"/>
  <c r="P38" i="54"/>
  <c r="Q38" i="54"/>
  <c r="R38" i="54" s="1"/>
  <c r="P2" i="53"/>
  <c r="Q2" i="53"/>
  <c r="P3" i="53"/>
  <c r="Q3" i="53"/>
  <c r="R3" i="53" s="1"/>
  <c r="P4" i="53"/>
  <c r="Q4" i="53"/>
  <c r="R4" i="53" s="1"/>
  <c r="P5" i="53"/>
  <c r="Q5" i="53"/>
  <c r="R5" i="53" s="1"/>
  <c r="P6" i="53"/>
  <c r="Q6" i="53"/>
  <c r="P7" i="53"/>
  <c r="Q7" i="53"/>
  <c r="P8" i="53"/>
  <c r="Q8" i="53"/>
  <c r="P9" i="53"/>
  <c r="R9" i="53" s="1"/>
  <c r="Q9" i="53"/>
  <c r="P10" i="53"/>
  <c r="Q10" i="53"/>
  <c r="R10" i="53"/>
  <c r="P11" i="53"/>
  <c r="Q11" i="53"/>
  <c r="P12" i="53"/>
  <c r="Q12" i="53"/>
  <c r="P13" i="53"/>
  <c r="Q13" i="53"/>
  <c r="R13" i="53" s="1"/>
  <c r="P14" i="53"/>
  <c r="Q14" i="53"/>
  <c r="P15" i="53"/>
  <c r="Q15" i="53"/>
  <c r="P16" i="53"/>
  <c r="Q16" i="53"/>
  <c r="P17" i="53"/>
  <c r="Q17" i="53"/>
  <c r="R17" i="53"/>
  <c r="Q39" i="54"/>
  <c r="P39" i="54"/>
  <c r="Q17" i="54"/>
  <c r="P17" i="54"/>
  <c r="Q16" i="54"/>
  <c r="P16" i="54"/>
  <c r="Q15" i="54"/>
  <c r="R15" i="54" s="1"/>
  <c r="P15" i="54"/>
  <c r="Q14" i="54"/>
  <c r="P14" i="54"/>
  <c r="Q13" i="54"/>
  <c r="R13" i="54" s="1"/>
  <c r="P13" i="54"/>
  <c r="Q12" i="54"/>
  <c r="P12" i="54"/>
  <c r="Q11" i="54"/>
  <c r="R11" i="54" s="1"/>
  <c r="P11" i="54"/>
  <c r="Q10" i="54"/>
  <c r="P10" i="54"/>
  <c r="Q9" i="54"/>
  <c r="R9" i="54" s="1"/>
  <c r="P9" i="54"/>
  <c r="Q8" i="54"/>
  <c r="P8" i="54"/>
  <c r="Q7" i="54"/>
  <c r="R7" i="54" s="1"/>
  <c r="P7" i="54"/>
  <c r="Q6" i="54"/>
  <c r="P6" i="54"/>
  <c r="Q5" i="54"/>
  <c r="R5" i="54" s="1"/>
  <c r="P5" i="54"/>
  <c r="Q4" i="54"/>
  <c r="P4" i="54"/>
  <c r="Q3" i="54"/>
  <c r="P3" i="54"/>
  <c r="Q2" i="54"/>
  <c r="R2" i="54" s="1"/>
  <c r="P2" i="54"/>
  <c r="H2" i="54"/>
  <c r="E3" i="54"/>
  <c r="F3" i="54" s="1"/>
  <c r="G3" i="54" s="1"/>
  <c r="H3" i="54"/>
  <c r="I3" i="54"/>
  <c r="J3" i="54" s="1"/>
  <c r="K3" i="54" s="1"/>
  <c r="E4" i="54"/>
  <c r="F4" i="54"/>
  <c r="H4" i="54"/>
  <c r="E5" i="54"/>
  <c r="F5" i="54" s="1"/>
  <c r="H5" i="54"/>
  <c r="E6" i="54"/>
  <c r="F6" i="54" s="1"/>
  <c r="H6" i="54"/>
  <c r="I6" i="54"/>
  <c r="J6" i="54"/>
  <c r="E7" i="54"/>
  <c r="F7" i="54"/>
  <c r="H7" i="54"/>
  <c r="I7" i="54"/>
  <c r="J7" i="54" s="1"/>
  <c r="E8" i="54"/>
  <c r="F8" i="54"/>
  <c r="H8" i="54"/>
  <c r="I8" i="54" s="1"/>
  <c r="J8" i="54" s="1"/>
  <c r="E9" i="54"/>
  <c r="F9" i="54" s="1"/>
  <c r="H9" i="54"/>
  <c r="E10" i="54"/>
  <c r="F10" i="54" s="1"/>
  <c r="H10" i="54"/>
  <c r="I10" i="54"/>
  <c r="J10" i="54"/>
  <c r="E11" i="54"/>
  <c r="F11" i="54"/>
  <c r="H11" i="54"/>
  <c r="I11" i="54"/>
  <c r="J11" i="54" s="1"/>
  <c r="E12" i="54"/>
  <c r="F12" i="54"/>
  <c r="H12" i="54"/>
  <c r="I12" i="54" s="1"/>
  <c r="J12" i="54" s="1"/>
  <c r="E13" i="54"/>
  <c r="F13" i="54" s="1"/>
  <c r="H13" i="54"/>
  <c r="E14" i="54"/>
  <c r="F14" i="54" s="1"/>
  <c r="H14" i="54"/>
  <c r="I14" i="54"/>
  <c r="J14" i="54"/>
  <c r="E15" i="54"/>
  <c r="F15" i="54"/>
  <c r="H15" i="54"/>
  <c r="I15" i="54" s="1"/>
  <c r="J15" i="54" s="1"/>
  <c r="H17" i="54"/>
  <c r="I17" i="54" s="1"/>
  <c r="E17" i="54"/>
  <c r="C17" i="54"/>
  <c r="J17" i="54" s="1"/>
  <c r="H16" i="54"/>
  <c r="I16" i="54" s="1"/>
  <c r="E16" i="54"/>
  <c r="C16" i="54"/>
  <c r="C15" i="54"/>
  <c r="C14" i="54"/>
  <c r="C13" i="54"/>
  <c r="C12" i="54"/>
  <c r="C11" i="54"/>
  <c r="C10" i="54"/>
  <c r="C9" i="54"/>
  <c r="C8" i="54"/>
  <c r="C7" i="54"/>
  <c r="C6" i="54"/>
  <c r="C5" i="54"/>
  <c r="C4" i="54"/>
  <c r="C3" i="54"/>
  <c r="Q25" i="53"/>
  <c r="Q26" i="53"/>
  <c r="Q27" i="53"/>
  <c r="Q28" i="53"/>
  <c r="Q29" i="53"/>
  <c r="Q30" i="53"/>
  <c r="Q31" i="53"/>
  <c r="Q32" i="53"/>
  <c r="Q33" i="53"/>
  <c r="Q34" i="53"/>
  <c r="Q35" i="53"/>
  <c r="Q36" i="53"/>
  <c r="Q37" i="53"/>
  <c r="Q38" i="53"/>
  <c r="Q39" i="53"/>
  <c r="Q24" i="53"/>
  <c r="P25" i="53"/>
  <c r="P26" i="53"/>
  <c r="P27" i="53"/>
  <c r="P28" i="53"/>
  <c r="P29" i="53"/>
  <c r="P30" i="53"/>
  <c r="P31" i="53"/>
  <c r="P32" i="53"/>
  <c r="P33" i="53"/>
  <c r="P34" i="53"/>
  <c r="P35" i="53"/>
  <c r="P36" i="53"/>
  <c r="P37" i="53"/>
  <c r="P38" i="53"/>
  <c r="P39" i="53"/>
  <c r="P24" i="53"/>
  <c r="Q26" i="52"/>
  <c r="Q27" i="52"/>
  <c r="R27" i="52" s="1"/>
  <c r="Q28" i="52"/>
  <c r="Q29" i="52"/>
  <c r="Q30" i="52"/>
  <c r="Q31" i="52"/>
  <c r="R31" i="52" s="1"/>
  <c r="Q32" i="52"/>
  <c r="Q33" i="52"/>
  <c r="Q34" i="52"/>
  <c r="Q35" i="52"/>
  <c r="R35" i="52" s="1"/>
  <c r="Q36" i="52"/>
  <c r="Q37" i="52"/>
  <c r="Q38" i="52"/>
  <c r="Q39" i="52"/>
  <c r="R39" i="52" s="1"/>
  <c r="Q40" i="52"/>
  <c r="Q41" i="52"/>
  <c r="Q25" i="52"/>
  <c r="P26" i="52"/>
  <c r="P27" i="52"/>
  <c r="P28" i="52"/>
  <c r="R28" i="52" s="1"/>
  <c r="P29" i="52"/>
  <c r="R29" i="52" s="1"/>
  <c r="P30" i="52"/>
  <c r="P31" i="52"/>
  <c r="P32" i="52"/>
  <c r="R32" i="52" s="1"/>
  <c r="P33" i="52"/>
  <c r="R33" i="52" s="1"/>
  <c r="P34" i="52"/>
  <c r="P35" i="52"/>
  <c r="P36" i="52"/>
  <c r="R36" i="52" s="1"/>
  <c r="P37" i="52"/>
  <c r="R37" i="52" s="1"/>
  <c r="P38" i="52"/>
  <c r="P39" i="52"/>
  <c r="P40" i="52"/>
  <c r="R40" i="52" s="1"/>
  <c r="P41" i="52"/>
  <c r="R41" i="52" s="1"/>
  <c r="P25" i="52"/>
  <c r="Q3" i="52"/>
  <c r="Q2" i="52"/>
  <c r="P3" i="52"/>
  <c r="P4" i="52"/>
  <c r="P5" i="52"/>
  <c r="P6" i="52"/>
  <c r="P7" i="52"/>
  <c r="P8" i="52"/>
  <c r="P9" i="52"/>
  <c r="P10" i="52"/>
  <c r="P11" i="52"/>
  <c r="P12" i="52"/>
  <c r="P13" i="52"/>
  <c r="P14" i="52"/>
  <c r="P15" i="52"/>
  <c r="P16" i="52"/>
  <c r="P17" i="52"/>
  <c r="P18" i="52"/>
  <c r="P2" i="52"/>
  <c r="C12" i="52"/>
  <c r="E12" i="52"/>
  <c r="F12" i="52"/>
  <c r="H12" i="52"/>
  <c r="C13" i="52"/>
  <c r="E13" i="52"/>
  <c r="F13" i="52"/>
  <c r="H13" i="52"/>
  <c r="I13" i="52" s="1"/>
  <c r="C14" i="52"/>
  <c r="E14" i="52"/>
  <c r="H14" i="52"/>
  <c r="C15" i="52"/>
  <c r="J15" i="52" s="1"/>
  <c r="E15" i="52"/>
  <c r="F15" i="52" s="1"/>
  <c r="H15" i="52"/>
  <c r="I15" i="52" s="1"/>
  <c r="C16" i="52"/>
  <c r="F16" i="52" s="1"/>
  <c r="E16" i="52"/>
  <c r="H16" i="52"/>
  <c r="C17" i="52"/>
  <c r="E17" i="52"/>
  <c r="F17" i="52" s="1"/>
  <c r="H17" i="52"/>
  <c r="I17" i="52" s="1"/>
  <c r="J17" i="52" s="1"/>
  <c r="C18" i="52"/>
  <c r="E18" i="52"/>
  <c r="H18" i="52"/>
  <c r="P19" i="51"/>
  <c r="P20" i="51"/>
  <c r="P21" i="51"/>
  <c r="P22" i="51"/>
  <c r="Q22" i="51" s="1"/>
  <c r="P23" i="51"/>
  <c r="P24" i="51"/>
  <c r="P25" i="51"/>
  <c r="P26" i="51"/>
  <c r="Q26" i="51" s="1"/>
  <c r="P18" i="51"/>
  <c r="O19" i="51"/>
  <c r="Q19" i="51" s="1"/>
  <c r="O20" i="51"/>
  <c r="O21" i="51"/>
  <c r="O22" i="51"/>
  <c r="O23" i="51"/>
  <c r="Q23" i="51" s="1"/>
  <c r="O24" i="51"/>
  <c r="O25" i="51"/>
  <c r="O26" i="51"/>
  <c r="O18" i="51"/>
  <c r="Q18" i="51" s="1"/>
  <c r="O3" i="51"/>
  <c r="O4" i="51"/>
  <c r="O5" i="51"/>
  <c r="O6" i="51"/>
  <c r="O7" i="51"/>
  <c r="O8" i="51"/>
  <c r="O9" i="51"/>
  <c r="O10" i="51"/>
  <c r="O2" i="51"/>
  <c r="P2" i="51"/>
  <c r="Q2" i="51" s="1"/>
  <c r="E3" i="51"/>
  <c r="F3" i="51"/>
  <c r="G3" i="51" s="1"/>
  <c r="G4" i="51" s="1"/>
  <c r="H3" i="51"/>
  <c r="I3" i="51" s="1"/>
  <c r="E4" i="51"/>
  <c r="F4" i="51"/>
  <c r="H4" i="51"/>
  <c r="E5" i="51"/>
  <c r="H5" i="51"/>
  <c r="I5" i="51"/>
  <c r="E6" i="51"/>
  <c r="F6" i="51"/>
  <c r="H6" i="51"/>
  <c r="I6" i="51"/>
  <c r="E7" i="51"/>
  <c r="F7" i="51"/>
  <c r="H7" i="51"/>
  <c r="I7" i="51"/>
  <c r="E8" i="51"/>
  <c r="F8" i="51"/>
  <c r="H8" i="51"/>
  <c r="I8" i="51"/>
  <c r="H10" i="51"/>
  <c r="E10" i="51"/>
  <c r="C10" i="51"/>
  <c r="H9" i="51"/>
  <c r="E9" i="51"/>
  <c r="C9" i="51"/>
  <c r="C8" i="51"/>
  <c r="C7" i="51"/>
  <c r="C6" i="51"/>
  <c r="C5" i="51"/>
  <c r="F5" i="51" s="1"/>
  <c r="C4" i="51"/>
  <c r="C3" i="51"/>
  <c r="H2" i="51"/>
  <c r="Q24" i="43"/>
  <c r="P24" i="43"/>
  <c r="O42" i="43"/>
  <c r="P38" i="43"/>
  <c r="P37" i="43"/>
  <c r="P36" i="43"/>
  <c r="P35" i="43"/>
  <c r="P34" i="43"/>
  <c r="P33" i="43"/>
  <c r="P32" i="43"/>
  <c r="P31" i="43"/>
  <c r="P30" i="43"/>
  <c r="P29" i="43"/>
  <c r="P28" i="43"/>
  <c r="P27" i="43"/>
  <c r="P26" i="43"/>
  <c r="P25" i="43"/>
  <c r="R25" i="43" s="1"/>
  <c r="R24" i="43"/>
  <c r="Q3" i="43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2" i="43"/>
  <c r="R20" i="43"/>
  <c r="Q19" i="43"/>
  <c r="P3" i="43"/>
  <c r="R3" i="43" s="1"/>
  <c r="P4" i="43"/>
  <c r="R4" i="43" s="1"/>
  <c r="P5" i="43"/>
  <c r="R5" i="43" s="1"/>
  <c r="P6" i="43"/>
  <c r="R6" i="43" s="1"/>
  <c r="P7" i="43"/>
  <c r="R7" i="43" s="1"/>
  <c r="P8" i="43"/>
  <c r="R8" i="43" s="1"/>
  <c r="P9" i="43"/>
  <c r="R9" i="43" s="1"/>
  <c r="P10" i="43"/>
  <c r="R10" i="43" s="1"/>
  <c r="P11" i="43"/>
  <c r="R11" i="43" s="1"/>
  <c r="P12" i="43"/>
  <c r="R12" i="43" s="1"/>
  <c r="P13" i="43"/>
  <c r="R13" i="43" s="1"/>
  <c r="P14" i="43"/>
  <c r="R14" i="43" s="1"/>
  <c r="P15" i="43"/>
  <c r="R15" i="43" s="1"/>
  <c r="P16" i="43"/>
  <c r="R16" i="43" s="1"/>
  <c r="P2" i="43"/>
  <c r="R2" i="43" s="1"/>
  <c r="O20" i="43"/>
  <c r="H19" i="68"/>
  <c r="E19" i="68"/>
  <c r="C19" i="68"/>
  <c r="H18" i="68"/>
  <c r="E18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H2" i="43"/>
  <c r="C3" i="43"/>
  <c r="E3" i="43"/>
  <c r="F3" i="43" s="1"/>
  <c r="G3" i="43" s="1"/>
  <c r="G4" i="43" s="1"/>
  <c r="H3" i="43"/>
  <c r="I3" i="43"/>
  <c r="J3" i="43"/>
  <c r="K3" i="43" s="1"/>
  <c r="C4" i="43"/>
  <c r="E4" i="43"/>
  <c r="F4" i="43"/>
  <c r="H4" i="43"/>
  <c r="I4" i="43" s="1"/>
  <c r="J4" i="43" s="1"/>
  <c r="C5" i="43"/>
  <c r="E5" i="43"/>
  <c r="F5" i="43" s="1"/>
  <c r="H5" i="43"/>
  <c r="C6" i="43"/>
  <c r="E6" i="43"/>
  <c r="F6" i="43"/>
  <c r="H6" i="43"/>
  <c r="I6" i="43" s="1"/>
  <c r="J6" i="43" s="1"/>
  <c r="C7" i="43"/>
  <c r="E7" i="43"/>
  <c r="F7" i="43" s="1"/>
  <c r="H7" i="43"/>
  <c r="C8" i="43"/>
  <c r="E8" i="43"/>
  <c r="F8" i="43" s="1"/>
  <c r="H8" i="43"/>
  <c r="I8" i="43"/>
  <c r="J8" i="43"/>
  <c r="C9" i="43"/>
  <c r="E9" i="43"/>
  <c r="F9" i="43"/>
  <c r="H9" i="43"/>
  <c r="I9" i="43" s="1"/>
  <c r="J9" i="43" s="1"/>
  <c r="C10" i="43"/>
  <c r="E10" i="43"/>
  <c r="F10" i="43" s="1"/>
  <c r="H10" i="43"/>
  <c r="C11" i="43"/>
  <c r="E11" i="43"/>
  <c r="F11" i="43" s="1"/>
  <c r="H11" i="43"/>
  <c r="I11" i="43" s="1"/>
  <c r="J11" i="43" s="1"/>
  <c r="C12" i="43"/>
  <c r="E12" i="43"/>
  <c r="F12" i="43" s="1"/>
  <c r="H12" i="43"/>
  <c r="I12" i="43" s="1"/>
  <c r="J12" i="43" s="1"/>
  <c r="C13" i="43"/>
  <c r="E13" i="43"/>
  <c r="F13" i="43" s="1"/>
  <c r="H13" i="43"/>
  <c r="I13" i="43" s="1"/>
  <c r="J13" i="43" s="1"/>
  <c r="C14" i="43"/>
  <c r="E14" i="43"/>
  <c r="H14" i="43"/>
  <c r="I14" i="43" s="1"/>
  <c r="C15" i="43"/>
  <c r="E15" i="43"/>
  <c r="H15" i="43"/>
  <c r="C16" i="43"/>
  <c r="E16" i="43"/>
  <c r="H16" i="43"/>
  <c r="H17" i="53"/>
  <c r="E17" i="53"/>
  <c r="C17" i="53"/>
  <c r="H16" i="53"/>
  <c r="E16" i="53"/>
  <c r="C16" i="53"/>
  <c r="H15" i="53"/>
  <c r="E15" i="53"/>
  <c r="C15" i="53"/>
  <c r="H14" i="53"/>
  <c r="E14" i="53"/>
  <c r="C14" i="53"/>
  <c r="H13" i="53"/>
  <c r="E13" i="53"/>
  <c r="C13" i="53"/>
  <c r="H12" i="53"/>
  <c r="I12" i="53" s="1"/>
  <c r="E12" i="53"/>
  <c r="C12" i="53"/>
  <c r="H11" i="53"/>
  <c r="E11" i="53"/>
  <c r="C11" i="53"/>
  <c r="H10" i="53"/>
  <c r="E10" i="53"/>
  <c r="C10" i="53"/>
  <c r="H9" i="53"/>
  <c r="E9" i="53"/>
  <c r="C9" i="53"/>
  <c r="H8" i="53"/>
  <c r="E8" i="53"/>
  <c r="C8" i="53"/>
  <c r="H7" i="53"/>
  <c r="E7" i="53"/>
  <c r="C7" i="53"/>
  <c r="H6" i="53"/>
  <c r="E6" i="53"/>
  <c r="C6" i="53"/>
  <c r="H5" i="53"/>
  <c r="E5" i="53"/>
  <c r="C5" i="53"/>
  <c r="H4" i="53"/>
  <c r="I4" i="53" s="1"/>
  <c r="E4" i="53"/>
  <c r="C4" i="53"/>
  <c r="H3" i="53"/>
  <c r="E3" i="53"/>
  <c r="C3" i="53"/>
  <c r="H2" i="53"/>
  <c r="H11" i="52"/>
  <c r="E11" i="52"/>
  <c r="C11" i="52"/>
  <c r="H10" i="52"/>
  <c r="E10" i="52"/>
  <c r="C10" i="52"/>
  <c r="H9" i="52"/>
  <c r="E9" i="52"/>
  <c r="C9" i="52"/>
  <c r="H8" i="52"/>
  <c r="E8" i="52"/>
  <c r="C8" i="52"/>
  <c r="H7" i="52"/>
  <c r="E7" i="52"/>
  <c r="C7" i="52"/>
  <c r="H6" i="52"/>
  <c r="E6" i="52"/>
  <c r="C6" i="52"/>
  <c r="H5" i="52"/>
  <c r="E5" i="52"/>
  <c r="C5" i="52"/>
  <c r="H4" i="52"/>
  <c r="E4" i="52"/>
  <c r="C4" i="52"/>
  <c r="H3" i="52"/>
  <c r="E3" i="52"/>
  <c r="C3" i="52"/>
  <c r="H2" i="52"/>
  <c r="I12" i="71" l="1"/>
  <c r="I8" i="71"/>
  <c r="I4" i="71"/>
  <c r="I11" i="71"/>
  <c r="I7" i="71"/>
  <c r="J12" i="71"/>
  <c r="J3" i="71"/>
  <c r="L27" i="30"/>
  <c r="L28" i="30" s="1"/>
  <c r="L29" i="30" s="1"/>
  <c r="L30" i="30" s="1"/>
  <c r="L31" i="30" s="1"/>
  <c r="L32" i="30" s="1"/>
  <c r="L33" i="30" s="1"/>
  <c r="L34" i="30" s="1"/>
  <c r="L35" i="30" s="1"/>
  <c r="L36" i="30" s="1"/>
  <c r="G37" i="30"/>
  <c r="G27" i="30"/>
  <c r="G28" i="30" s="1"/>
  <c r="G29" i="30" s="1"/>
  <c r="G30" i="30" s="1"/>
  <c r="G31" i="30" s="1"/>
  <c r="G32" i="30" s="1"/>
  <c r="G33" i="30" s="1"/>
  <c r="G34" i="30" s="1"/>
  <c r="G35" i="30" s="1"/>
  <c r="G36" i="30" s="1"/>
  <c r="P26" i="30"/>
  <c r="P27" i="30" s="1"/>
  <c r="P28" i="30" s="1"/>
  <c r="P29" i="30" s="1"/>
  <c r="P30" i="30" s="1"/>
  <c r="P31" i="30" s="1"/>
  <c r="P32" i="30" s="1"/>
  <c r="P33" i="30" s="1"/>
  <c r="P34" i="30" s="1"/>
  <c r="P35" i="30" s="1"/>
  <c r="P36" i="30" s="1"/>
  <c r="R2" i="70"/>
  <c r="R25" i="52"/>
  <c r="R38" i="52"/>
  <c r="R34" i="52"/>
  <c r="R30" i="52"/>
  <c r="R26" i="52"/>
  <c r="Q4" i="52"/>
  <c r="R4" i="52" s="1"/>
  <c r="R2" i="52"/>
  <c r="R3" i="52"/>
  <c r="Q4" i="70"/>
  <c r="J8" i="71"/>
  <c r="J2" i="71"/>
  <c r="J9" i="71"/>
  <c r="J5" i="71"/>
  <c r="J11" i="71"/>
  <c r="J7" i="71"/>
  <c r="J13" i="71"/>
  <c r="J10" i="71"/>
  <c r="J6" i="71"/>
  <c r="J4" i="71"/>
  <c r="Q24" i="51"/>
  <c r="Q20" i="51"/>
  <c r="F7" i="70"/>
  <c r="F11" i="70"/>
  <c r="I7" i="70"/>
  <c r="J7" i="70" s="1"/>
  <c r="R4" i="70"/>
  <c r="R3" i="70"/>
  <c r="R30" i="70"/>
  <c r="I14" i="70"/>
  <c r="J14" i="70" s="1"/>
  <c r="I13" i="70"/>
  <c r="J13" i="70" s="1"/>
  <c r="I10" i="70"/>
  <c r="J10" i="70" s="1"/>
  <c r="I9" i="70"/>
  <c r="J9" i="70" s="1"/>
  <c r="R31" i="70"/>
  <c r="R43" i="70"/>
  <c r="F5" i="70"/>
  <c r="I19" i="70"/>
  <c r="J19" i="70" s="1"/>
  <c r="F18" i="70"/>
  <c r="R34" i="70"/>
  <c r="R36" i="70"/>
  <c r="R38" i="70"/>
  <c r="I17" i="70"/>
  <c r="J17" i="70" s="1"/>
  <c r="I15" i="70"/>
  <c r="J15" i="70" s="1"/>
  <c r="R27" i="70"/>
  <c r="F17" i="70"/>
  <c r="I11" i="70"/>
  <c r="J11" i="70" s="1"/>
  <c r="I5" i="70"/>
  <c r="J5" i="70" s="1"/>
  <c r="R40" i="70"/>
  <c r="R42" i="70"/>
  <c r="I18" i="70"/>
  <c r="J18" i="70" s="1"/>
  <c r="F13" i="70"/>
  <c r="R26" i="70"/>
  <c r="R28" i="70"/>
  <c r="R33" i="70"/>
  <c r="R35" i="70"/>
  <c r="F9" i="70"/>
  <c r="F12" i="70"/>
  <c r="F8" i="70"/>
  <c r="J6" i="70"/>
  <c r="F4" i="70"/>
  <c r="R29" i="70"/>
  <c r="R32" i="70"/>
  <c r="R37" i="70"/>
  <c r="F16" i="70"/>
  <c r="R39" i="70"/>
  <c r="R41" i="70"/>
  <c r="F15" i="70"/>
  <c r="F14" i="70"/>
  <c r="F10" i="70"/>
  <c r="F6" i="70"/>
  <c r="F3" i="70"/>
  <c r="G3" i="70" s="1"/>
  <c r="F20" i="70"/>
  <c r="F19" i="70"/>
  <c r="I3" i="70"/>
  <c r="J3" i="70" s="1"/>
  <c r="K3" i="70" s="1"/>
  <c r="I12" i="70"/>
  <c r="J12" i="70" s="1"/>
  <c r="I8" i="70"/>
  <c r="J8" i="70" s="1"/>
  <c r="I16" i="70"/>
  <c r="J16" i="70" s="1"/>
  <c r="I4" i="70"/>
  <c r="J4" i="70" s="1"/>
  <c r="I20" i="70"/>
  <c r="J20" i="70" s="1"/>
  <c r="R26" i="69"/>
  <c r="R28" i="69"/>
  <c r="R30" i="69"/>
  <c r="R32" i="69"/>
  <c r="R34" i="69"/>
  <c r="R36" i="69"/>
  <c r="R38" i="69"/>
  <c r="R40" i="69"/>
  <c r="R42" i="69"/>
  <c r="R13" i="69"/>
  <c r="R12" i="69"/>
  <c r="R7" i="69"/>
  <c r="R17" i="69"/>
  <c r="R16" i="69"/>
  <c r="R15" i="69"/>
  <c r="R35" i="69"/>
  <c r="R27" i="69"/>
  <c r="R18" i="69"/>
  <c r="G4" i="69"/>
  <c r="G5" i="69" s="1"/>
  <c r="G6" i="69" s="1"/>
  <c r="G7" i="69" s="1"/>
  <c r="G8" i="69" s="1"/>
  <c r="G9" i="69" s="1"/>
  <c r="G10" i="69" s="1"/>
  <c r="G11" i="69" s="1"/>
  <c r="G12" i="69" s="1"/>
  <c r="G13" i="69" s="1"/>
  <c r="G14" i="69" s="1"/>
  <c r="G15" i="69" s="1"/>
  <c r="G16" i="69" s="1"/>
  <c r="I13" i="69"/>
  <c r="J13" i="69" s="1"/>
  <c r="I15" i="69"/>
  <c r="J15" i="69" s="1"/>
  <c r="I7" i="69"/>
  <c r="J7" i="69" s="1"/>
  <c r="G17" i="69"/>
  <c r="I16" i="69"/>
  <c r="J16" i="69" s="1"/>
  <c r="I14" i="69"/>
  <c r="J14" i="69" s="1"/>
  <c r="I12" i="69"/>
  <c r="J12" i="69" s="1"/>
  <c r="I10" i="69"/>
  <c r="J10" i="69" s="1"/>
  <c r="I8" i="69"/>
  <c r="J8" i="69" s="1"/>
  <c r="I6" i="69"/>
  <c r="J6" i="69" s="1"/>
  <c r="I4" i="69"/>
  <c r="J4" i="69" s="1"/>
  <c r="K4" i="69" s="1"/>
  <c r="K5" i="69" s="1"/>
  <c r="K6" i="69" s="1"/>
  <c r="K7" i="69" s="1"/>
  <c r="K8" i="69" s="1"/>
  <c r="K9" i="69" s="1"/>
  <c r="K10" i="69" s="1"/>
  <c r="K11" i="69" s="1"/>
  <c r="K12" i="69" s="1"/>
  <c r="K13" i="69" s="1"/>
  <c r="K14" i="69" s="1"/>
  <c r="K15" i="69" s="1"/>
  <c r="K16" i="69" s="1"/>
  <c r="K17" i="69" s="1"/>
  <c r="I19" i="69"/>
  <c r="J19" i="69"/>
  <c r="I18" i="69"/>
  <c r="J18" i="69" s="1"/>
  <c r="F19" i="69"/>
  <c r="F18" i="69"/>
  <c r="R36" i="68"/>
  <c r="R2" i="68"/>
  <c r="R4" i="68"/>
  <c r="R30" i="68"/>
  <c r="R37" i="68"/>
  <c r="R39" i="68"/>
  <c r="R25" i="68"/>
  <c r="R27" i="68"/>
  <c r="R34" i="68"/>
  <c r="R41" i="68"/>
  <c r="R29" i="68"/>
  <c r="R31" i="68"/>
  <c r="R38" i="68"/>
  <c r="R3" i="68"/>
  <c r="K7" i="68"/>
  <c r="K8" i="68" s="1"/>
  <c r="I10" i="68"/>
  <c r="J10" i="68" s="1"/>
  <c r="I17" i="68"/>
  <c r="J17" i="68" s="1"/>
  <c r="G4" i="68"/>
  <c r="G5" i="68" s="1"/>
  <c r="G6" i="68" s="1"/>
  <c r="G7" i="68" s="1"/>
  <c r="G8" i="68" s="1"/>
  <c r="G9" i="68" s="1"/>
  <c r="G10" i="68" s="1"/>
  <c r="G11" i="68" s="1"/>
  <c r="G12" i="68" s="1"/>
  <c r="G13" i="68" s="1"/>
  <c r="G14" i="68" s="1"/>
  <c r="G15" i="68" s="1"/>
  <c r="G16" i="68" s="1"/>
  <c r="G17" i="68" s="1"/>
  <c r="I13" i="68"/>
  <c r="J13" i="68" s="1"/>
  <c r="K9" i="68"/>
  <c r="K10" i="68" s="1"/>
  <c r="K11" i="68" s="1"/>
  <c r="K12" i="68" s="1"/>
  <c r="K13" i="68" s="1"/>
  <c r="K14" i="68" s="1"/>
  <c r="K15" i="68" s="1"/>
  <c r="K16" i="68" s="1"/>
  <c r="R31" i="67"/>
  <c r="R38" i="67"/>
  <c r="R40" i="67"/>
  <c r="R26" i="67"/>
  <c r="R35" i="67"/>
  <c r="R30" i="67"/>
  <c r="R37" i="67"/>
  <c r="R39" i="67"/>
  <c r="R41" i="67"/>
  <c r="R4" i="67"/>
  <c r="R17" i="67"/>
  <c r="R5" i="67"/>
  <c r="R8" i="67"/>
  <c r="R12" i="67"/>
  <c r="R18" i="67"/>
  <c r="R9" i="67"/>
  <c r="R13" i="67"/>
  <c r="R15" i="67"/>
  <c r="R29" i="67"/>
  <c r="R7" i="67"/>
  <c r="R11" i="67"/>
  <c r="I3" i="67"/>
  <c r="J3" i="67" s="1"/>
  <c r="K3" i="67" s="1"/>
  <c r="J13" i="67"/>
  <c r="J15" i="67"/>
  <c r="I13" i="67"/>
  <c r="I6" i="67"/>
  <c r="J6" i="67" s="1"/>
  <c r="I7" i="67"/>
  <c r="J7" i="67" s="1"/>
  <c r="I10" i="67"/>
  <c r="J10" i="67" s="1"/>
  <c r="I15" i="67"/>
  <c r="I18" i="67"/>
  <c r="J18" i="67" s="1"/>
  <c r="I17" i="67"/>
  <c r="F17" i="67"/>
  <c r="J9" i="67"/>
  <c r="J11" i="67"/>
  <c r="J17" i="67"/>
  <c r="I4" i="67"/>
  <c r="J4" i="67" s="1"/>
  <c r="K4" i="67" s="1"/>
  <c r="K5" i="67" s="1"/>
  <c r="K6" i="67" s="1"/>
  <c r="K7" i="67" s="1"/>
  <c r="F5" i="67"/>
  <c r="I8" i="67"/>
  <c r="J8" i="67" s="1"/>
  <c r="F9" i="67"/>
  <c r="I12" i="67"/>
  <c r="J12" i="67" s="1"/>
  <c r="F13" i="67"/>
  <c r="I16" i="67"/>
  <c r="J16" i="67" s="1"/>
  <c r="F4" i="67"/>
  <c r="G4" i="67" s="1"/>
  <c r="F8" i="67"/>
  <c r="F12" i="67"/>
  <c r="F16" i="67"/>
  <c r="F7" i="67"/>
  <c r="F11" i="67"/>
  <c r="F15" i="67"/>
  <c r="R25" i="66"/>
  <c r="R41" i="66"/>
  <c r="R25" i="65"/>
  <c r="R27" i="65"/>
  <c r="R29" i="65"/>
  <c r="R31" i="65"/>
  <c r="R33" i="65"/>
  <c r="R17" i="65"/>
  <c r="R3" i="65"/>
  <c r="G4" i="65"/>
  <c r="G5" i="65" s="1"/>
  <c r="G6" i="65" s="1"/>
  <c r="G7" i="65" s="1"/>
  <c r="I4" i="65"/>
  <c r="J4" i="65" s="1"/>
  <c r="Q4" i="64"/>
  <c r="R28" i="64"/>
  <c r="F16" i="64"/>
  <c r="R24" i="63"/>
  <c r="R35" i="63"/>
  <c r="R37" i="63"/>
  <c r="R39" i="63"/>
  <c r="R28" i="63"/>
  <c r="R30" i="63"/>
  <c r="R32" i="63"/>
  <c r="R38" i="63"/>
  <c r="R17" i="63"/>
  <c r="R11" i="63"/>
  <c r="R8" i="63"/>
  <c r="R4" i="63"/>
  <c r="G5" i="63"/>
  <c r="G6" i="63" s="1"/>
  <c r="G7" i="63" s="1"/>
  <c r="G8" i="63" s="1"/>
  <c r="G9" i="63" s="1"/>
  <c r="G10" i="63" s="1"/>
  <c r="G11" i="63" s="1"/>
  <c r="G12" i="63" s="1"/>
  <c r="G13" i="63" s="1"/>
  <c r="G14" i="63" s="1"/>
  <c r="G15" i="63" s="1"/>
  <c r="I8" i="63"/>
  <c r="J8" i="63" s="1"/>
  <c r="I5" i="63"/>
  <c r="J5" i="63" s="1"/>
  <c r="I4" i="63"/>
  <c r="J4" i="63" s="1"/>
  <c r="K4" i="63" s="1"/>
  <c r="K5" i="63" s="1"/>
  <c r="K6" i="63" s="1"/>
  <c r="K7" i="63" s="1"/>
  <c r="K8" i="63" s="1"/>
  <c r="K9" i="63" s="1"/>
  <c r="K10" i="63" s="1"/>
  <c r="K11" i="63" s="1"/>
  <c r="K12" i="63" s="1"/>
  <c r="K13" i="63" s="1"/>
  <c r="K14" i="63" s="1"/>
  <c r="K15" i="63" s="1"/>
  <c r="I13" i="63"/>
  <c r="J13" i="63" s="1"/>
  <c r="G5" i="62"/>
  <c r="G6" i="62" s="1"/>
  <c r="G7" i="62" s="1"/>
  <c r="G8" i="62" s="1"/>
  <c r="G9" i="62" s="1"/>
  <c r="G10" i="62" s="1"/>
  <c r="G11" i="62" s="1"/>
  <c r="G12" i="62" s="1"/>
  <c r="G13" i="62" s="1"/>
  <c r="G14" i="62" s="1"/>
  <c r="I9" i="62"/>
  <c r="J9" i="62" s="1"/>
  <c r="I6" i="62"/>
  <c r="J6" i="62" s="1"/>
  <c r="I13" i="62"/>
  <c r="J13" i="62" s="1"/>
  <c r="I10" i="62"/>
  <c r="J10" i="62" s="1"/>
  <c r="I5" i="62"/>
  <c r="J5" i="62" s="1"/>
  <c r="G16" i="63"/>
  <c r="G17" i="63" s="1"/>
  <c r="F17" i="63"/>
  <c r="R34" i="62"/>
  <c r="R15" i="62"/>
  <c r="R24" i="62"/>
  <c r="R32" i="62"/>
  <c r="R29" i="61"/>
  <c r="R4" i="61"/>
  <c r="R8" i="61"/>
  <c r="R12" i="61"/>
  <c r="R30" i="61"/>
  <c r="R28" i="61"/>
  <c r="R24" i="61"/>
  <c r="R38" i="66"/>
  <c r="R36" i="66"/>
  <c r="R2" i="66"/>
  <c r="R26" i="66"/>
  <c r="R30" i="66"/>
  <c r="R28" i="66"/>
  <c r="R39" i="66"/>
  <c r="R37" i="66"/>
  <c r="R35" i="66"/>
  <c r="R3" i="66"/>
  <c r="R27" i="64"/>
  <c r="R4" i="64"/>
  <c r="R35" i="65"/>
  <c r="R37" i="65"/>
  <c r="R39" i="65"/>
  <c r="R24" i="65"/>
  <c r="R26" i="65"/>
  <c r="R28" i="65"/>
  <c r="R30" i="65"/>
  <c r="R32" i="65"/>
  <c r="R38" i="65"/>
  <c r="R15" i="65"/>
  <c r="R9" i="65"/>
  <c r="R7" i="65"/>
  <c r="R14" i="65"/>
  <c r="R13" i="65"/>
  <c r="R12" i="65"/>
  <c r="R5" i="65"/>
  <c r="R4" i="65"/>
  <c r="R25" i="64"/>
  <c r="R32" i="64"/>
  <c r="R38" i="64"/>
  <c r="R24" i="64"/>
  <c r="R26" i="64"/>
  <c r="R31" i="64"/>
  <c r="R33" i="64"/>
  <c r="R3" i="64"/>
  <c r="R26" i="62"/>
  <c r="R28" i="62"/>
  <c r="R30" i="62"/>
  <c r="R36" i="62"/>
  <c r="R25" i="62"/>
  <c r="R27" i="62"/>
  <c r="R29" i="62"/>
  <c r="R31" i="62"/>
  <c r="R8" i="62"/>
  <c r="R9" i="62"/>
  <c r="R33" i="61"/>
  <c r="R37" i="61"/>
  <c r="R3" i="61"/>
  <c r="R7" i="61"/>
  <c r="R11" i="61"/>
  <c r="R15" i="61"/>
  <c r="R16" i="61"/>
  <c r="R5" i="61"/>
  <c r="R9" i="61"/>
  <c r="R13" i="61"/>
  <c r="R29" i="60"/>
  <c r="R26" i="60"/>
  <c r="R33" i="60"/>
  <c r="R35" i="60"/>
  <c r="R37" i="60"/>
  <c r="R31" i="60"/>
  <c r="R30" i="60"/>
  <c r="R5" i="60"/>
  <c r="R8" i="60"/>
  <c r="R12" i="60"/>
  <c r="R16" i="60"/>
  <c r="R9" i="60"/>
  <c r="R13" i="60"/>
  <c r="R37" i="59"/>
  <c r="R24" i="59"/>
  <c r="R26" i="59"/>
  <c r="R28" i="59"/>
  <c r="R6" i="59"/>
  <c r="R4" i="59"/>
  <c r="R12" i="59"/>
  <c r="R32" i="58"/>
  <c r="R34" i="58"/>
  <c r="R36" i="58"/>
  <c r="R24" i="58"/>
  <c r="R26" i="58"/>
  <c r="R28" i="58"/>
  <c r="R39" i="58"/>
  <c r="R14" i="58"/>
  <c r="R11" i="58"/>
  <c r="R7" i="58"/>
  <c r="R32" i="57"/>
  <c r="R34" i="57"/>
  <c r="R36" i="57"/>
  <c r="R31" i="57"/>
  <c r="R33" i="57"/>
  <c r="R35" i="57"/>
  <c r="R37" i="57"/>
  <c r="R16" i="57"/>
  <c r="R11" i="57"/>
  <c r="R8" i="57"/>
  <c r="R7" i="57"/>
  <c r="R5" i="57"/>
  <c r="R30" i="56"/>
  <c r="R28" i="56"/>
  <c r="R3" i="56"/>
  <c r="R16" i="56"/>
  <c r="R12" i="55"/>
  <c r="R5" i="55"/>
  <c r="R7" i="55"/>
  <c r="R14" i="55"/>
  <c r="R16" i="55"/>
  <c r="R3" i="55"/>
  <c r="R10" i="55"/>
  <c r="R11" i="55"/>
  <c r="R29" i="54"/>
  <c r="R35" i="54"/>
  <c r="R33" i="54"/>
  <c r="R36" i="54"/>
  <c r="R25" i="54"/>
  <c r="R4" i="54"/>
  <c r="R12" i="54"/>
  <c r="R16" i="54"/>
  <c r="R39" i="54"/>
  <c r="R26" i="54"/>
  <c r="R6" i="54"/>
  <c r="R8" i="54"/>
  <c r="R10" i="54"/>
  <c r="R17" i="54"/>
  <c r="R3" i="54"/>
  <c r="R14" i="54"/>
  <c r="R2" i="53"/>
  <c r="R32" i="53"/>
  <c r="R39" i="53"/>
  <c r="R35" i="53"/>
  <c r="R31" i="53"/>
  <c r="R27" i="53"/>
  <c r="R24" i="53"/>
  <c r="R28" i="53"/>
  <c r="R38" i="53"/>
  <c r="R34" i="53"/>
  <c r="R30" i="53"/>
  <c r="R26" i="53"/>
  <c r="R36" i="53"/>
  <c r="R37" i="53"/>
  <c r="R33" i="53"/>
  <c r="R29" i="53"/>
  <c r="R25" i="53"/>
  <c r="R12" i="53"/>
  <c r="R11" i="53"/>
  <c r="R8" i="53"/>
  <c r="R6" i="53"/>
  <c r="R16" i="53"/>
  <c r="R14" i="53"/>
  <c r="Q25" i="51"/>
  <c r="Q21" i="51"/>
  <c r="P5" i="51"/>
  <c r="Q5" i="51" s="1"/>
  <c r="P8" i="51"/>
  <c r="Q8" i="51" s="1"/>
  <c r="P4" i="51"/>
  <c r="Q4" i="51" s="1"/>
  <c r="P7" i="51"/>
  <c r="Q7" i="51" s="1"/>
  <c r="P3" i="51"/>
  <c r="Q3" i="51" s="1"/>
  <c r="P6" i="51"/>
  <c r="Q6" i="51" s="1"/>
  <c r="I18" i="66"/>
  <c r="J18" i="66" s="1"/>
  <c r="F18" i="66"/>
  <c r="I4" i="66"/>
  <c r="I11" i="66"/>
  <c r="J11" i="66" s="1"/>
  <c r="I12" i="66"/>
  <c r="J12" i="66" s="1"/>
  <c r="J4" i="66"/>
  <c r="I3" i="66"/>
  <c r="J3" i="66" s="1"/>
  <c r="K3" i="66" s="1"/>
  <c r="K4" i="66" s="1"/>
  <c r="I6" i="66"/>
  <c r="J6" i="66" s="1"/>
  <c r="I14" i="66"/>
  <c r="J14" i="66" s="1"/>
  <c r="J8" i="66"/>
  <c r="J16" i="66"/>
  <c r="I5" i="66"/>
  <c r="J5" i="66" s="1"/>
  <c r="I9" i="66"/>
  <c r="J9" i="66" s="1"/>
  <c r="I13" i="66"/>
  <c r="J13" i="66" s="1"/>
  <c r="I17" i="66"/>
  <c r="J17" i="66" s="1"/>
  <c r="F5" i="66"/>
  <c r="F9" i="66"/>
  <c r="F13" i="66"/>
  <c r="F17" i="66"/>
  <c r="F4" i="66"/>
  <c r="G4" i="66" s="1"/>
  <c r="G5" i="66" s="1"/>
  <c r="G6" i="66" s="1"/>
  <c r="G7" i="66" s="1"/>
  <c r="F8" i="66"/>
  <c r="F12" i="66"/>
  <c r="F16" i="66"/>
  <c r="F17" i="65"/>
  <c r="G8" i="65"/>
  <c r="G9" i="65" s="1"/>
  <c r="G10" i="65" s="1"/>
  <c r="G11" i="65" s="1"/>
  <c r="G12" i="65" s="1"/>
  <c r="G13" i="65" s="1"/>
  <c r="G14" i="65" s="1"/>
  <c r="G15" i="65" s="1"/>
  <c r="I8" i="65"/>
  <c r="J8" i="65" s="1"/>
  <c r="I12" i="65"/>
  <c r="J12" i="65" s="1"/>
  <c r="K4" i="65"/>
  <c r="I13" i="65"/>
  <c r="J13" i="65" s="1"/>
  <c r="I9" i="65"/>
  <c r="J9" i="65" s="1"/>
  <c r="I5" i="65"/>
  <c r="J5" i="65" s="1"/>
  <c r="F16" i="65"/>
  <c r="I16" i="65"/>
  <c r="J16" i="65" s="1"/>
  <c r="I17" i="65"/>
  <c r="J17" i="65" s="1"/>
  <c r="I16" i="64"/>
  <c r="J16" i="64" s="1"/>
  <c r="I17" i="64"/>
  <c r="J17" i="64" s="1"/>
  <c r="I4" i="64"/>
  <c r="J4" i="64" s="1"/>
  <c r="I10" i="64"/>
  <c r="I14" i="64"/>
  <c r="J14" i="64" s="1"/>
  <c r="I3" i="64"/>
  <c r="J3" i="64" s="1"/>
  <c r="K3" i="64" s="1"/>
  <c r="I8" i="64"/>
  <c r="J8" i="64" s="1"/>
  <c r="I12" i="64"/>
  <c r="J12" i="64" s="1"/>
  <c r="I9" i="64"/>
  <c r="J9" i="64" s="1"/>
  <c r="I13" i="64"/>
  <c r="J13" i="64" s="1"/>
  <c r="J6" i="64"/>
  <c r="J10" i="64"/>
  <c r="I11" i="64"/>
  <c r="J11" i="64" s="1"/>
  <c r="I15" i="64"/>
  <c r="J15" i="64" s="1"/>
  <c r="F3" i="64"/>
  <c r="G3" i="64" s="1"/>
  <c r="G4" i="64" s="1"/>
  <c r="G5" i="64" s="1"/>
  <c r="I6" i="64"/>
  <c r="F7" i="64"/>
  <c r="F11" i="64"/>
  <c r="F15" i="64"/>
  <c r="F6" i="64"/>
  <c r="F10" i="64"/>
  <c r="F14" i="64"/>
  <c r="K4" i="62"/>
  <c r="K5" i="62" s="1"/>
  <c r="K6" i="62" s="1"/>
  <c r="K7" i="62" s="1"/>
  <c r="K8" i="62" s="1"/>
  <c r="K9" i="62" s="1"/>
  <c r="K10" i="62" s="1"/>
  <c r="K11" i="62" s="1"/>
  <c r="K12" i="62" s="1"/>
  <c r="J15" i="62"/>
  <c r="I16" i="62"/>
  <c r="J16" i="62" s="1"/>
  <c r="F16" i="62"/>
  <c r="F15" i="62"/>
  <c r="G15" i="62" s="1"/>
  <c r="I4" i="61"/>
  <c r="I12" i="61"/>
  <c r="J12" i="61" s="1"/>
  <c r="I7" i="61"/>
  <c r="J7" i="61" s="1"/>
  <c r="I10" i="61"/>
  <c r="J10" i="61" s="1"/>
  <c r="I15" i="61"/>
  <c r="J15" i="61" s="1"/>
  <c r="I8" i="61"/>
  <c r="J8" i="61" s="1"/>
  <c r="I16" i="61"/>
  <c r="J16" i="61" s="1"/>
  <c r="J3" i="61"/>
  <c r="K3" i="61" s="1"/>
  <c r="J11" i="61"/>
  <c r="J4" i="61"/>
  <c r="I5" i="61"/>
  <c r="J5" i="61" s="1"/>
  <c r="I9" i="61"/>
  <c r="J9" i="61" s="1"/>
  <c r="I13" i="61"/>
  <c r="J13" i="61" s="1"/>
  <c r="F4" i="61"/>
  <c r="F8" i="61"/>
  <c r="F12" i="61"/>
  <c r="F16" i="61"/>
  <c r="F3" i="61"/>
  <c r="G3" i="61" s="1"/>
  <c r="G4" i="61" s="1"/>
  <c r="G5" i="61" s="1"/>
  <c r="G6" i="61" s="1"/>
  <c r="F7" i="61"/>
  <c r="F11" i="61"/>
  <c r="F15" i="61"/>
  <c r="I4" i="60"/>
  <c r="J8" i="60"/>
  <c r="I12" i="60"/>
  <c r="I7" i="60"/>
  <c r="J7" i="60" s="1"/>
  <c r="I10" i="60"/>
  <c r="J10" i="60" s="1"/>
  <c r="I15" i="60"/>
  <c r="J15" i="60" s="1"/>
  <c r="I16" i="60"/>
  <c r="J16" i="60" s="1"/>
  <c r="J3" i="60"/>
  <c r="K3" i="60" s="1"/>
  <c r="J11" i="60"/>
  <c r="J4" i="60"/>
  <c r="J12" i="60"/>
  <c r="I5" i="60"/>
  <c r="J5" i="60" s="1"/>
  <c r="I13" i="60"/>
  <c r="J13" i="60" s="1"/>
  <c r="F4" i="60"/>
  <c r="F8" i="60"/>
  <c r="F12" i="60"/>
  <c r="F16" i="60"/>
  <c r="I9" i="60"/>
  <c r="J9" i="60" s="1"/>
  <c r="F3" i="60"/>
  <c r="G3" i="60" s="1"/>
  <c r="F7" i="60"/>
  <c r="F11" i="60"/>
  <c r="F15" i="60"/>
  <c r="I3" i="59"/>
  <c r="J3" i="59" s="1"/>
  <c r="K3" i="59" s="1"/>
  <c r="R2" i="59"/>
  <c r="F4" i="59"/>
  <c r="R9" i="59"/>
  <c r="F12" i="59"/>
  <c r="R29" i="59"/>
  <c r="J8" i="59"/>
  <c r="R14" i="59"/>
  <c r="I16" i="59"/>
  <c r="J16" i="59" s="1"/>
  <c r="R25" i="59"/>
  <c r="R31" i="59"/>
  <c r="I5" i="59"/>
  <c r="J5" i="59" s="1"/>
  <c r="R7" i="59"/>
  <c r="R8" i="59"/>
  <c r="R16" i="59"/>
  <c r="F7" i="59"/>
  <c r="R10" i="59"/>
  <c r="F15" i="59"/>
  <c r="R30" i="59"/>
  <c r="F3" i="59"/>
  <c r="G3" i="59" s="1"/>
  <c r="G4" i="59" s="1"/>
  <c r="R3" i="59"/>
  <c r="I4" i="59"/>
  <c r="J4" i="59" s="1"/>
  <c r="K4" i="59" s="1"/>
  <c r="R5" i="59"/>
  <c r="I9" i="59"/>
  <c r="J9" i="59" s="1"/>
  <c r="R11" i="59"/>
  <c r="I12" i="59"/>
  <c r="J12" i="59" s="1"/>
  <c r="J13" i="59"/>
  <c r="R13" i="59"/>
  <c r="R27" i="59"/>
  <c r="R34" i="59"/>
  <c r="R36" i="59"/>
  <c r="I6" i="59"/>
  <c r="J6" i="59" s="1"/>
  <c r="J15" i="59"/>
  <c r="R23" i="59"/>
  <c r="R32" i="59"/>
  <c r="I11" i="59"/>
  <c r="J11" i="59" s="1"/>
  <c r="I7" i="59"/>
  <c r="J7" i="59" s="1"/>
  <c r="I10" i="59"/>
  <c r="J10" i="59" s="1"/>
  <c r="I14" i="59"/>
  <c r="J14" i="59" s="1"/>
  <c r="F6" i="59"/>
  <c r="F10" i="59"/>
  <c r="F14" i="59"/>
  <c r="F5" i="59"/>
  <c r="F9" i="59"/>
  <c r="F13" i="59"/>
  <c r="F16" i="58"/>
  <c r="I16" i="58"/>
  <c r="J16" i="58" s="1"/>
  <c r="K13" i="58"/>
  <c r="K14" i="58" s="1"/>
  <c r="K15" i="58" s="1"/>
  <c r="J17" i="58"/>
  <c r="F17" i="58"/>
  <c r="F16" i="57"/>
  <c r="J16" i="57"/>
  <c r="I10" i="57"/>
  <c r="J10" i="57" s="1"/>
  <c r="K4" i="57"/>
  <c r="K5" i="57" s="1"/>
  <c r="K6" i="57" s="1"/>
  <c r="K7" i="57" s="1"/>
  <c r="K8" i="57" s="1"/>
  <c r="K9" i="57" s="1"/>
  <c r="J17" i="57"/>
  <c r="G16" i="57"/>
  <c r="F17" i="57"/>
  <c r="R37" i="56"/>
  <c r="R29" i="56"/>
  <c r="I7" i="56"/>
  <c r="J7" i="56" s="1"/>
  <c r="I14" i="56"/>
  <c r="J14" i="56" s="1"/>
  <c r="I10" i="56"/>
  <c r="J10" i="56" s="1"/>
  <c r="K4" i="56"/>
  <c r="K5" i="56" s="1"/>
  <c r="K6" i="56" s="1"/>
  <c r="K7" i="56" s="1"/>
  <c r="K8" i="56" s="1"/>
  <c r="K9" i="56" s="1"/>
  <c r="K10" i="56" s="1"/>
  <c r="K11" i="56" s="1"/>
  <c r="K12" i="56" s="1"/>
  <c r="K13" i="56" s="1"/>
  <c r="K14" i="56" s="1"/>
  <c r="K15" i="56" s="1"/>
  <c r="I16" i="56"/>
  <c r="J16" i="56" s="1"/>
  <c r="G16" i="56"/>
  <c r="G17" i="56" s="1"/>
  <c r="R37" i="55"/>
  <c r="R29" i="55"/>
  <c r="I15" i="55"/>
  <c r="J15" i="55" s="1"/>
  <c r="I11" i="55"/>
  <c r="J11" i="55" s="1"/>
  <c r="I7" i="55"/>
  <c r="J7" i="55" s="1"/>
  <c r="K4" i="55"/>
  <c r="K5" i="55" s="1"/>
  <c r="K6" i="55" s="1"/>
  <c r="K7" i="55" s="1"/>
  <c r="K8" i="55" s="1"/>
  <c r="K9" i="55" s="1"/>
  <c r="K10" i="55" s="1"/>
  <c r="K11" i="55" s="1"/>
  <c r="K12" i="55" s="1"/>
  <c r="K13" i="55" s="1"/>
  <c r="K14" i="55" s="1"/>
  <c r="K15" i="55" s="1"/>
  <c r="I17" i="55"/>
  <c r="J17" i="55" s="1"/>
  <c r="J16" i="55"/>
  <c r="F16" i="55"/>
  <c r="F17" i="55"/>
  <c r="R15" i="53"/>
  <c r="R7" i="53"/>
  <c r="I13" i="54"/>
  <c r="J13" i="54" s="1"/>
  <c r="I9" i="54"/>
  <c r="J9" i="54" s="1"/>
  <c r="G4" i="54"/>
  <c r="G5" i="54" s="1"/>
  <c r="G6" i="54" s="1"/>
  <c r="G7" i="54" s="1"/>
  <c r="G8" i="54" s="1"/>
  <c r="G9" i="54" s="1"/>
  <c r="G10" i="54" s="1"/>
  <c r="G11" i="54" s="1"/>
  <c r="G12" i="54" s="1"/>
  <c r="G13" i="54" s="1"/>
  <c r="G14" i="54" s="1"/>
  <c r="G15" i="54" s="1"/>
  <c r="I4" i="54"/>
  <c r="J4" i="54" s="1"/>
  <c r="K4" i="54" s="1"/>
  <c r="I5" i="54"/>
  <c r="J5" i="54" s="1"/>
  <c r="J16" i="54"/>
  <c r="F16" i="54"/>
  <c r="F17" i="54"/>
  <c r="I16" i="53"/>
  <c r="I6" i="53"/>
  <c r="I10" i="53"/>
  <c r="J10" i="53" s="1"/>
  <c r="I14" i="53"/>
  <c r="J14" i="53" s="1"/>
  <c r="F18" i="52"/>
  <c r="I18" i="52"/>
  <c r="J18" i="52" s="1"/>
  <c r="F14" i="52"/>
  <c r="J13" i="52"/>
  <c r="I9" i="52"/>
  <c r="J9" i="52" s="1"/>
  <c r="I16" i="52"/>
  <c r="J16" i="52" s="1"/>
  <c r="I14" i="52"/>
  <c r="J14" i="52" s="1"/>
  <c r="I12" i="52"/>
  <c r="J12" i="52" s="1"/>
  <c r="I11" i="52"/>
  <c r="J11" i="52" s="1"/>
  <c r="I5" i="52"/>
  <c r="I4" i="51"/>
  <c r="J4" i="51" s="1"/>
  <c r="G5" i="51"/>
  <c r="G6" i="51" s="1"/>
  <c r="G7" i="51" s="1"/>
  <c r="G8" i="51" s="1"/>
  <c r="I10" i="51"/>
  <c r="I9" i="51"/>
  <c r="J9" i="51" s="1"/>
  <c r="J8" i="51"/>
  <c r="J5" i="51"/>
  <c r="J3" i="51"/>
  <c r="K3" i="51" s="1"/>
  <c r="J7" i="51"/>
  <c r="J6" i="51"/>
  <c r="J10" i="51"/>
  <c r="F9" i="51"/>
  <c r="F10" i="51"/>
  <c r="R26" i="43"/>
  <c r="F16" i="43"/>
  <c r="I16" i="43"/>
  <c r="J16" i="43" s="1"/>
  <c r="J14" i="43"/>
  <c r="F14" i="43"/>
  <c r="F15" i="43"/>
  <c r="I15" i="43"/>
  <c r="J15" i="43" s="1"/>
  <c r="I19" i="68"/>
  <c r="J19" i="68" s="1"/>
  <c r="I18" i="68"/>
  <c r="J18" i="68"/>
  <c r="G5" i="43"/>
  <c r="G6" i="43" s="1"/>
  <c r="G7" i="43" s="1"/>
  <c r="G8" i="43" s="1"/>
  <c r="G9" i="43" s="1"/>
  <c r="G10" i="43" s="1"/>
  <c r="G11" i="43" s="1"/>
  <c r="G12" i="43" s="1"/>
  <c r="G13" i="43" s="1"/>
  <c r="G14" i="43" s="1"/>
  <c r="G15" i="43" s="1"/>
  <c r="G16" i="43" s="1"/>
  <c r="K4" i="43"/>
  <c r="I5" i="43"/>
  <c r="J5" i="43" s="1"/>
  <c r="I10" i="43"/>
  <c r="J10" i="43" s="1"/>
  <c r="I7" i="43"/>
  <c r="J7" i="43" s="1"/>
  <c r="I5" i="53"/>
  <c r="I9" i="53"/>
  <c r="I13" i="53"/>
  <c r="I17" i="53"/>
  <c r="J17" i="53" s="1"/>
  <c r="J6" i="53"/>
  <c r="I8" i="53"/>
  <c r="J8" i="53" s="1"/>
  <c r="I3" i="53"/>
  <c r="J3" i="53" s="1"/>
  <c r="K3" i="53" s="1"/>
  <c r="I7" i="53"/>
  <c r="J7" i="53" s="1"/>
  <c r="I11" i="53"/>
  <c r="J11" i="53" s="1"/>
  <c r="I15" i="53"/>
  <c r="J15" i="53" s="1"/>
  <c r="I4" i="52"/>
  <c r="J4" i="52" s="1"/>
  <c r="I8" i="52"/>
  <c r="J8" i="52" s="1"/>
  <c r="I3" i="52"/>
  <c r="J3" i="52" s="1"/>
  <c r="K3" i="52" s="1"/>
  <c r="I7" i="52"/>
  <c r="J7" i="52" s="1"/>
  <c r="I6" i="52"/>
  <c r="J6" i="52" s="1"/>
  <c r="I10" i="52"/>
  <c r="J10" i="52" s="1"/>
  <c r="F18" i="68"/>
  <c r="F19" i="68"/>
  <c r="J5" i="53"/>
  <c r="J9" i="53"/>
  <c r="J13" i="53"/>
  <c r="J4" i="53"/>
  <c r="J12" i="53"/>
  <c r="J16" i="53"/>
  <c r="F3" i="53"/>
  <c r="G3" i="53" s="1"/>
  <c r="F4" i="53"/>
  <c r="F5" i="53"/>
  <c r="F6" i="53"/>
  <c r="F7" i="53"/>
  <c r="F8" i="53"/>
  <c r="F9" i="53"/>
  <c r="F10" i="53"/>
  <c r="F11" i="53"/>
  <c r="F12" i="53"/>
  <c r="F13" i="53"/>
  <c r="F14" i="53"/>
  <c r="F15" i="53"/>
  <c r="F16" i="53"/>
  <c r="F17" i="53"/>
  <c r="J5" i="52"/>
  <c r="F3" i="52"/>
  <c r="G3" i="52" s="1"/>
  <c r="F4" i="52"/>
  <c r="F5" i="52"/>
  <c r="F6" i="52"/>
  <c r="F7" i="52"/>
  <c r="F8" i="52"/>
  <c r="F9" i="52"/>
  <c r="F10" i="52"/>
  <c r="F11" i="52"/>
  <c r="AH31" i="30"/>
  <c r="AH32" i="30"/>
  <c r="AH33" i="30"/>
  <c r="AH34" i="30"/>
  <c r="AH35" i="30"/>
  <c r="AH36" i="30"/>
  <c r="AI36" i="30" s="1"/>
  <c r="AH37" i="30"/>
  <c r="AH38" i="30"/>
  <c r="AH39" i="30"/>
  <c r="AH40" i="30"/>
  <c r="AI40" i="30" s="1"/>
  <c r="AH30" i="30"/>
  <c r="AH3" i="30"/>
  <c r="AH4" i="30"/>
  <c r="AH5" i="30"/>
  <c r="AH6" i="30"/>
  <c r="AH7" i="30"/>
  <c r="AH8" i="30"/>
  <c r="AH9" i="30"/>
  <c r="AI9" i="30" s="1"/>
  <c r="AH10" i="30"/>
  <c r="AH11" i="30"/>
  <c r="AH12" i="30"/>
  <c r="AH2" i="30"/>
  <c r="AI2" i="30" s="1"/>
  <c r="AB3" i="30"/>
  <c r="AB4" i="30"/>
  <c r="AB5" i="30"/>
  <c r="AC5" i="30" s="1"/>
  <c r="AB6" i="30"/>
  <c r="AB7" i="30"/>
  <c r="AB8" i="30"/>
  <c r="AB9" i="30"/>
  <c r="AB10" i="30"/>
  <c r="AB11" i="30"/>
  <c r="AB12" i="30"/>
  <c r="AB2" i="30"/>
  <c r="AB31" i="30"/>
  <c r="AB32" i="30"/>
  <c r="AB33" i="30"/>
  <c r="AB34" i="30"/>
  <c r="AB35" i="30"/>
  <c r="AB36" i="30"/>
  <c r="AB37" i="30"/>
  <c r="AB38" i="30"/>
  <c r="AB39" i="30"/>
  <c r="AB40" i="30"/>
  <c r="AB30" i="30"/>
  <c r="V45" i="30"/>
  <c r="V46" i="30"/>
  <c r="V47" i="30"/>
  <c r="V48" i="30"/>
  <c r="V49" i="30"/>
  <c r="V50" i="30"/>
  <c r="V51" i="30"/>
  <c r="V52" i="30"/>
  <c r="V53" i="30"/>
  <c r="V54" i="30"/>
  <c r="V44" i="30"/>
  <c r="V3" i="30"/>
  <c r="V4" i="30"/>
  <c r="V5" i="30"/>
  <c r="V6" i="30"/>
  <c r="V7" i="30"/>
  <c r="V8" i="30"/>
  <c r="V9" i="30"/>
  <c r="V10" i="30"/>
  <c r="V11" i="30"/>
  <c r="V12" i="30"/>
  <c r="V2" i="30"/>
  <c r="V31" i="30"/>
  <c r="V26" i="30"/>
  <c r="K3" i="30"/>
  <c r="K4" i="30"/>
  <c r="K5" i="30"/>
  <c r="K6" i="30"/>
  <c r="K7" i="30"/>
  <c r="K8" i="30"/>
  <c r="K9" i="30"/>
  <c r="K10" i="30"/>
  <c r="K11" i="30"/>
  <c r="K12" i="30"/>
  <c r="AH25" i="30"/>
  <c r="AH17" i="30"/>
  <c r="U54" i="30"/>
  <c r="U53" i="30"/>
  <c r="W53" i="30" s="1"/>
  <c r="U52" i="30"/>
  <c r="U51" i="30"/>
  <c r="W51" i="30" s="1"/>
  <c r="U50" i="30"/>
  <c r="U49" i="30"/>
  <c r="W49" i="30" s="1"/>
  <c r="U48" i="30"/>
  <c r="U47" i="30"/>
  <c r="W47" i="30" s="1"/>
  <c r="U46" i="30"/>
  <c r="U45" i="30"/>
  <c r="W45" i="30" s="1"/>
  <c r="U44" i="30"/>
  <c r="W44" i="30" s="1"/>
  <c r="AG40" i="30"/>
  <c r="AA40" i="30"/>
  <c r="AC40" i="30" s="1"/>
  <c r="V40" i="30"/>
  <c r="W40" i="30" s="1"/>
  <c r="U40" i="30"/>
  <c r="AG39" i="30"/>
  <c r="AI39" i="30" s="1"/>
  <c r="AA39" i="30"/>
  <c r="V39" i="30"/>
  <c r="U39" i="30"/>
  <c r="AG38" i="30"/>
  <c r="AA38" i="30"/>
  <c r="V38" i="30"/>
  <c r="U38" i="30"/>
  <c r="AG37" i="30"/>
  <c r="AA37" i="30"/>
  <c r="AC37" i="30" s="1"/>
  <c r="V37" i="30"/>
  <c r="U37" i="30"/>
  <c r="AG36" i="30"/>
  <c r="AA36" i="30"/>
  <c r="V36" i="30"/>
  <c r="W36" i="30" s="1"/>
  <c r="U36" i="30"/>
  <c r="AG35" i="30"/>
  <c r="AA35" i="30"/>
  <c r="V35" i="30"/>
  <c r="W35" i="30" s="1"/>
  <c r="U35" i="30"/>
  <c r="AG34" i="30"/>
  <c r="AA34" i="30"/>
  <c r="V34" i="30"/>
  <c r="W34" i="30" s="1"/>
  <c r="U34" i="30"/>
  <c r="AG33" i="30"/>
  <c r="AA33" i="30"/>
  <c r="AC33" i="30" s="1"/>
  <c r="V33" i="30"/>
  <c r="W33" i="30" s="1"/>
  <c r="U33" i="30"/>
  <c r="AG32" i="30"/>
  <c r="AA32" i="30"/>
  <c r="AC32" i="30" s="1"/>
  <c r="V32" i="30"/>
  <c r="U32" i="30"/>
  <c r="AG31" i="30"/>
  <c r="AI31" i="30" s="1"/>
  <c r="AC31" i="30"/>
  <c r="AA31" i="30"/>
  <c r="U31" i="30"/>
  <c r="AG30" i="30"/>
  <c r="AI30" i="30" s="1"/>
  <c r="AA30" i="30"/>
  <c r="V30" i="30"/>
  <c r="U30" i="30"/>
  <c r="AH26" i="30"/>
  <c r="AG26" i="30"/>
  <c r="AB26" i="30"/>
  <c r="AA26" i="30"/>
  <c r="U26" i="30"/>
  <c r="W26" i="30" s="1"/>
  <c r="AG25" i="30"/>
  <c r="AB25" i="30"/>
  <c r="AA25" i="30"/>
  <c r="V25" i="30"/>
  <c r="U25" i="30"/>
  <c r="AH24" i="30"/>
  <c r="AG24" i="30"/>
  <c r="AB24" i="30"/>
  <c r="AA24" i="30"/>
  <c r="V24" i="30"/>
  <c r="W24" i="30" s="1"/>
  <c r="U24" i="30"/>
  <c r="AH23" i="30"/>
  <c r="AG23" i="30"/>
  <c r="AB23" i="30"/>
  <c r="AA23" i="30"/>
  <c r="V23" i="30"/>
  <c r="U23" i="30"/>
  <c r="AH22" i="30"/>
  <c r="AG22" i="30"/>
  <c r="AB22" i="30"/>
  <c r="AA22" i="30"/>
  <c r="V22" i="30"/>
  <c r="U22" i="30"/>
  <c r="AH21" i="30"/>
  <c r="AG21" i="30"/>
  <c r="AB21" i="30"/>
  <c r="AA21" i="30"/>
  <c r="V21" i="30"/>
  <c r="U21" i="30"/>
  <c r="W21" i="30" s="1"/>
  <c r="AH20" i="30"/>
  <c r="AG20" i="30"/>
  <c r="AB20" i="30"/>
  <c r="AA20" i="30"/>
  <c r="V20" i="30"/>
  <c r="U20" i="30"/>
  <c r="AH19" i="30"/>
  <c r="AG19" i="30"/>
  <c r="AB19" i="30"/>
  <c r="AA19" i="30"/>
  <c r="V19" i="30"/>
  <c r="U19" i="30"/>
  <c r="AH18" i="30"/>
  <c r="AG18" i="30"/>
  <c r="AB18" i="30"/>
  <c r="AA18" i="30"/>
  <c r="V18" i="30"/>
  <c r="U18" i="30"/>
  <c r="AG17" i="30"/>
  <c r="AB17" i="30"/>
  <c r="AA17" i="30"/>
  <c r="V17" i="30"/>
  <c r="W17" i="30" s="1"/>
  <c r="U17" i="30"/>
  <c r="AH16" i="30"/>
  <c r="AG16" i="30"/>
  <c r="AB16" i="30"/>
  <c r="AC16" i="30" s="1"/>
  <c r="AA16" i="30"/>
  <c r="V16" i="30"/>
  <c r="U16" i="30"/>
  <c r="AG12" i="30"/>
  <c r="AI12" i="30" s="1"/>
  <c r="AA12" i="30"/>
  <c r="U12" i="30"/>
  <c r="AG11" i="30"/>
  <c r="AI11" i="30" s="1"/>
  <c r="AA11" i="30"/>
  <c r="U11" i="30"/>
  <c r="W11" i="30" s="1"/>
  <c r="AG10" i="30"/>
  <c r="AA10" i="30"/>
  <c r="U10" i="30"/>
  <c r="AG9" i="30"/>
  <c r="AA9" i="30"/>
  <c r="AC9" i="30" s="1"/>
  <c r="U9" i="30"/>
  <c r="AG8" i="30"/>
  <c r="AA8" i="30"/>
  <c r="U8" i="30"/>
  <c r="W8" i="30" s="1"/>
  <c r="AG7" i="30"/>
  <c r="AI7" i="30" s="1"/>
  <c r="AA7" i="30"/>
  <c r="U7" i="30"/>
  <c r="W7" i="30" s="1"/>
  <c r="AG6" i="30"/>
  <c r="AA6" i="30"/>
  <c r="U6" i="30"/>
  <c r="AG5" i="30"/>
  <c r="AI5" i="30" s="1"/>
  <c r="AA5" i="30"/>
  <c r="U5" i="30"/>
  <c r="AI4" i="30"/>
  <c r="AG4" i="30"/>
  <c r="AA4" i="30"/>
  <c r="U4" i="30"/>
  <c r="W4" i="30" s="1"/>
  <c r="AG3" i="30"/>
  <c r="AA3" i="30"/>
  <c r="U3" i="30"/>
  <c r="W3" i="30" s="1"/>
  <c r="AG2" i="30"/>
  <c r="AA2" i="30"/>
  <c r="U2" i="30"/>
  <c r="B32" i="40"/>
  <c r="B33" i="40"/>
  <c r="K13" i="30"/>
  <c r="M4" i="40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3" i="40"/>
  <c r="L3" i="30"/>
  <c r="L4" i="30"/>
  <c r="L5" i="30"/>
  <c r="L6" i="30"/>
  <c r="L7" i="30"/>
  <c r="L8" i="30"/>
  <c r="L9" i="30"/>
  <c r="L10" i="30"/>
  <c r="L11" i="30"/>
  <c r="L12" i="30"/>
  <c r="F3" i="30"/>
  <c r="F4" i="30"/>
  <c r="F5" i="30"/>
  <c r="F6" i="30"/>
  <c r="F7" i="30"/>
  <c r="F8" i="30"/>
  <c r="F9" i="30"/>
  <c r="F10" i="30"/>
  <c r="F11" i="30"/>
  <c r="F12" i="30"/>
  <c r="F2" i="30"/>
  <c r="W20" i="30" l="1"/>
  <c r="L37" i="30"/>
  <c r="P37" i="30"/>
  <c r="Q5" i="52"/>
  <c r="R5" i="52" s="1"/>
  <c r="Q5" i="70"/>
  <c r="R5" i="70" s="1"/>
  <c r="K4" i="70"/>
  <c r="K5" i="70" s="1"/>
  <c r="K6" i="70" s="1"/>
  <c r="K7" i="70" s="1"/>
  <c r="K8" i="70" s="1"/>
  <c r="K9" i="70" s="1"/>
  <c r="K10" i="70" s="1"/>
  <c r="K11" i="70" s="1"/>
  <c r="K12" i="70" s="1"/>
  <c r="K13" i="70" s="1"/>
  <c r="K14" i="70" s="1"/>
  <c r="K15" i="70" s="1"/>
  <c r="K16" i="70" s="1"/>
  <c r="K17" i="70" s="1"/>
  <c r="K18" i="70" s="1"/>
  <c r="K19" i="70" s="1"/>
  <c r="K20" i="70" s="1"/>
  <c r="G4" i="70"/>
  <c r="G5" i="70" s="1"/>
  <c r="G6" i="70" s="1"/>
  <c r="G7" i="70" s="1"/>
  <c r="G8" i="70" s="1"/>
  <c r="G9" i="70" s="1"/>
  <c r="G10" i="70" s="1"/>
  <c r="G11" i="70" s="1"/>
  <c r="G12" i="70" s="1"/>
  <c r="G13" i="70" s="1"/>
  <c r="G14" i="70" s="1"/>
  <c r="G15" i="70" s="1"/>
  <c r="G16" i="70" s="1"/>
  <c r="G17" i="70" s="1"/>
  <c r="G18" i="70" s="1"/>
  <c r="G19" i="70" s="1"/>
  <c r="G20" i="70" s="1"/>
  <c r="K18" i="69"/>
  <c r="K19" i="69" s="1"/>
  <c r="G18" i="69"/>
  <c r="G19" i="69" s="1"/>
  <c r="Q5" i="68"/>
  <c r="R5" i="68" s="1"/>
  <c r="K17" i="68"/>
  <c r="K8" i="67"/>
  <c r="K9" i="67" s="1"/>
  <c r="K10" i="67" s="1"/>
  <c r="K11" i="67" s="1"/>
  <c r="K12" i="67" s="1"/>
  <c r="K13" i="67" s="1"/>
  <c r="K14" i="67" s="1"/>
  <c r="K15" i="67" s="1"/>
  <c r="K16" i="67" s="1"/>
  <c r="K17" i="67" s="1"/>
  <c r="K18" i="67" s="1"/>
  <c r="G5" i="67"/>
  <c r="G6" i="67" s="1"/>
  <c r="G7" i="67" s="1"/>
  <c r="G8" i="67" s="1"/>
  <c r="G9" i="67" s="1"/>
  <c r="G10" i="67" s="1"/>
  <c r="G11" i="67" s="1"/>
  <c r="G12" i="67" s="1"/>
  <c r="G13" i="67" s="1"/>
  <c r="G14" i="67" s="1"/>
  <c r="G15" i="67" s="1"/>
  <c r="G16" i="67" s="1"/>
  <c r="G17" i="67" s="1"/>
  <c r="G18" i="67" s="1"/>
  <c r="Q5" i="64"/>
  <c r="R5" i="64" s="1"/>
  <c r="K4" i="64"/>
  <c r="K5" i="64" s="1"/>
  <c r="K13" i="62"/>
  <c r="K14" i="62" s="1"/>
  <c r="K16" i="63"/>
  <c r="K17" i="63" s="1"/>
  <c r="Q4" i="66"/>
  <c r="R4" i="66" s="1"/>
  <c r="P9" i="51"/>
  <c r="Q9" i="51" s="1"/>
  <c r="P10" i="51"/>
  <c r="Q10" i="51" s="1"/>
  <c r="K5" i="66"/>
  <c r="K6" i="66" s="1"/>
  <c r="K7" i="66" s="1"/>
  <c r="K8" i="66" s="1"/>
  <c r="K9" i="66" s="1"/>
  <c r="K10" i="66" s="1"/>
  <c r="K11" i="66" s="1"/>
  <c r="K12" i="66" s="1"/>
  <c r="K13" i="66" s="1"/>
  <c r="K14" i="66" s="1"/>
  <c r="K15" i="66" s="1"/>
  <c r="K16" i="66" s="1"/>
  <c r="K17" i="66" s="1"/>
  <c r="K18" i="66" s="1"/>
  <c r="G8" i="66"/>
  <c r="G9" i="66" s="1"/>
  <c r="G10" i="66" s="1"/>
  <c r="G11" i="66" s="1"/>
  <c r="G12" i="66" s="1"/>
  <c r="G13" i="66" s="1"/>
  <c r="G14" i="66" s="1"/>
  <c r="G15" i="66" s="1"/>
  <c r="G16" i="66" s="1"/>
  <c r="G17" i="66" s="1"/>
  <c r="G18" i="66" s="1"/>
  <c r="K5" i="65"/>
  <c r="K6" i="65" s="1"/>
  <c r="K7" i="65" s="1"/>
  <c r="K8" i="65" s="1"/>
  <c r="K9" i="65" s="1"/>
  <c r="K10" i="65" s="1"/>
  <c r="K11" i="65" s="1"/>
  <c r="K12" i="65" s="1"/>
  <c r="K13" i="65" s="1"/>
  <c r="K14" i="65" s="1"/>
  <c r="K15" i="65" s="1"/>
  <c r="K16" i="65" s="1"/>
  <c r="K17" i="65" s="1"/>
  <c r="G16" i="65"/>
  <c r="G17" i="65" s="1"/>
  <c r="K6" i="64"/>
  <c r="K7" i="64" s="1"/>
  <c r="K8" i="64" s="1"/>
  <c r="K9" i="64" s="1"/>
  <c r="K10" i="64" s="1"/>
  <c r="K11" i="64" s="1"/>
  <c r="K12" i="64" s="1"/>
  <c r="K13" i="64" s="1"/>
  <c r="K14" i="64" s="1"/>
  <c r="K15" i="64" s="1"/>
  <c r="K16" i="64" s="1"/>
  <c r="K17" i="64" s="1"/>
  <c r="G6" i="64"/>
  <c r="G7" i="64" s="1"/>
  <c r="G8" i="64" s="1"/>
  <c r="G9" i="64" s="1"/>
  <c r="G10" i="64" s="1"/>
  <c r="G11" i="64" s="1"/>
  <c r="G12" i="64" s="1"/>
  <c r="G13" i="64" s="1"/>
  <c r="G14" i="64" s="1"/>
  <c r="G15" i="64" s="1"/>
  <c r="G16" i="64" s="1"/>
  <c r="G17" i="64" s="1"/>
  <c r="G16" i="62"/>
  <c r="K15" i="62"/>
  <c r="K16" i="62" s="1"/>
  <c r="G7" i="61"/>
  <c r="G8" i="61" s="1"/>
  <c r="G9" i="61" s="1"/>
  <c r="G10" i="61" s="1"/>
  <c r="G11" i="61" s="1"/>
  <c r="G12" i="61" s="1"/>
  <c r="G13" i="61" s="1"/>
  <c r="G14" i="61" s="1"/>
  <c r="G15" i="61"/>
  <c r="G16" i="61" s="1"/>
  <c r="K4" i="61"/>
  <c r="K5" i="61" s="1"/>
  <c r="K6" i="61" s="1"/>
  <c r="K7" i="61" s="1"/>
  <c r="K8" i="61" s="1"/>
  <c r="K9" i="61" s="1"/>
  <c r="K10" i="61" s="1"/>
  <c r="K11" i="61" s="1"/>
  <c r="K12" i="61" s="1"/>
  <c r="K13" i="61" s="1"/>
  <c r="K14" i="61" s="1"/>
  <c r="K15" i="61" s="1"/>
  <c r="K16" i="61" s="1"/>
  <c r="G4" i="60"/>
  <c r="G5" i="60" s="1"/>
  <c r="G6" i="60" s="1"/>
  <c r="G7" i="60" s="1"/>
  <c r="G8" i="60" s="1"/>
  <c r="G9" i="60" s="1"/>
  <c r="G10" i="60" s="1"/>
  <c r="G11" i="60" s="1"/>
  <c r="G12" i="60" s="1"/>
  <c r="G13" i="60" s="1"/>
  <c r="G14" i="60" s="1"/>
  <c r="G15" i="60" s="1"/>
  <c r="G16" i="60"/>
  <c r="K4" i="60"/>
  <c r="K5" i="60" s="1"/>
  <c r="K6" i="60" s="1"/>
  <c r="K7" i="60" s="1"/>
  <c r="K8" i="60" s="1"/>
  <c r="K9" i="60" s="1"/>
  <c r="K10" i="60" s="1"/>
  <c r="K11" i="60" s="1"/>
  <c r="K12" i="60" s="1"/>
  <c r="K13" i="60" s="1"/>
  <c r="K14" i="60" s="1"/>
  <c r="K15" i="60" s="1"/>
  <c r="G5" i="59"/>
  <c r="K5" i="59"/>
  <c r="G6" i="59"/>
  <c r="G7" i="59" s="1"/>
  <c r="G8" i="59" s="1"/>
  <c r="G9" i="59" s="1"/>
  <c r="G10" i="59" s="1"/>
  <c r="G11" i="59" s="1"/>
  <c r="G12" i="59" s="1"/>
  <c r="G13" i="59" s="1"/>
  <c r="G14" i="59" s="1"/>
  <c r="G15" i="59" s="1"/>
  <c r="G16" i="59" s="1"/>
  <c r="K6" i="59"/>
  <c r="K7" i="59" s="1"/>
  <c r="K8" i="59" s="1"/>
  <c r="K9" i="59" s="1"/>
  <c r="K10" i="59" s="1"/>
  <c r="K11" i="59" s="1"/>
  <c r="K12" i="59" s="1"/>
  <c r="K13" i="59" s="1"/>
  <c r="K14" i="59" s="1"/>
  <c r="K15" i="59" s="1"/>
  <c r="K16" i="59" s="1"/>
  <c r="K16" i="58"/>
  <c r="K17" i="58" s="1"/>
  <c r="G16" i="58"/>
  <c r="G17" i="58" s="1"/>
  <c r="G17" i="57"/>
  <c r="K10" i="57"/>
  <c r="K11" i="57" s="1"/>
  <c r="K12" i="57" s="1"/>
  <c r="K13" i="57" s="1"/>
  <c r="K14" i="57" s="1"/>
  <c r="K15" i="57" s="1"/>
  <c r="K16" i="57"/>
  <c r="K17" i="57" s="1"/>
  <c r="K16" i="56"/>
  <c r="K17" i="56" s="1"/>
  <c r="G16" i="55"/>
  <c r="G17" i="55" s="1"/>
  <c r="K16" i="55"/>
  <c r="K17" i="55" s="1"/>
  <c r="K5" i="54"/>
  <c r="K6" i="54" s="1"/>
  <c r="K7" i="54" s="1"/>
  <c r="K8" i="54" s="1"/>
  <c r="K9" i="54" s="1"/>
  <c r="K10" i="54" s="1"/>
  <c r="K11" i="54" s="1"/>
  <c r="K12" i="54" s="1"/>
  <c r="K13" i="54" s="1"/>
  <c r="K14" i="54" s="1"/>
  <c r="K15" i="54" s="1"/>
  <c r="G16" i="54"/>
  <c r="G17" i="54" s="1"/>
  <c r="K16" i="54"/>
  <c r="K17" i="54" s="1"/>
  <c r="K4" i="52"/>
  <c r="K5" i="52" s="1"/>
  <c r="K6" i="52" s="1"/>
  <c r="K7" i="52" s="1"/>
  <c r="K8" i="52" s="1"/>
  <c r="K9" i="52" s="1"/>
  <c r="K10" i="52" s="1"/>
  <c r="K11" i="52" s="1"/>
  <c r="K12" i="52" s="1"/>
  <c r="K13" i="52" s="1"/>
  <c r="K14" i="52" s="1"/>
  <c r="K15" i="52" s="1"/>
  <c r="K16" i="52" s="1"/>
  <c r="K17" i="52" s="1"/>
  <c r="K18" i="52" s="1"/>
  <c r="K4" i="51"/>
  <c r="K5" i="51" s="1"/>
  <c r="K6" i="51" s="1"/>
  <c r="K7" i="51" s="1"/>
  <c r="K8" i="51" s="1"/>
  <c r="K9" i="51" s="1"/>
  <c r="K10" i="51" s="1"/>
  <c r="G9" i="51"/>
  <c r="G10" i="51" s="1"/>
  <c r="R27" i="43"/>
  <c r="K18" i="68"/>
  <c r="K19" i="68" s="1"/>
  <c r="K5" i="43"/>
  <c r="K6" i="43" s="1"/>
  <c r="K7" i="43" s="1"/>
  <c r="K8" i="43" s="1"/>
  <c r="K9" i="43" s="1"/>
  <c r="K10" i="43" s="1"/>
  <c r="K11" i="43" s="1"/>
  <c r="K12" i="43" s="1"/>
  <c r="K13" i="43" s="1"/>
  <c r="K14" i="43" s="1"/>
  <c r="K15" i="43" s="1"/>
  <c r="K16" i="43" s="1"/>
  <c r="K4" i="53"/>
  <c r="K5" i="53" s="1"/>
  <c r="K6" i="53" s="1"/>
  <c r="K7" i="53" s="1"/>
  <c r="K8" i="53" s="1"/>
  <c r="K9" i="53" s="1"/>
  <c r="K10" i="53" s="1"/>
  <c r="K11" i="53" s="1"/>
  <c r="K12" i="53" s="1"/>
  <c r="K13" i="53" s="1"/>
  <c r="K14" i="53" s="1"/>
  <c r="K15" i="53" s="1"/>
  <c r="K16" i="53" s="1"/>
  <c r="K17" i="53" s="1"/>
  <c r="G4" i="53"/>
  <c r="G5" i="53" s="1"/>
  <c r="G6" i="53" s="1"/>
  <c r="G7" i="53" s="1"/>
  <c r="G8" i="53" s="1"/>
  <c r="G9" i="53" s="1"/>
  <c r="G10" i="53" s="1"/>
  <c r="G11" i="53" s="1"/>
  <c r="G12" i="53" s="1"/>
  <c r="G13" i="53" s="1"/>
  <c r="G14" i="53" s="1"/>
  <c r="G15" i="53" s="1"/>
  <c r="G16" i="53" s="1"/>
  <c r="G17" i="53" s="1"/>
  <c r="G4" i="52"/>
  <c r="G5" i="52" s="1"/>
  <c r="G6" i="52" s="1"/>
  <c r="G7" i="52" s="1"/>
  <c r="G8" i="52" s="1"/>
  <c r="G9" i="52" s="1"/>
  <c r="G10" i="52" s="1"/>
  <c r="G11" i="52" s="1"/>
  <c r="G12" i="52" s="1"/>
  <c r="G13" i="52" s="1"/>
  <c r="G14" i="52" s="1"/>
  <c r="G15" i="52" s="1"/>
  <c r="G16" i="52" s="1"/>
  <c r="G17" i="52" s="1"/>
  <c r="G18" i="52" s="1"/>
  <c r="G18" i="68"/>
  <c r="G19" i="68" s="1"/>
  <c r="AI20" i="30"/>
  <c r="AC21" i="30"/>
  <c r="AI22" i="30"/>
  <c r="AC23" i="30"/>
  <c r="W46" i="30"/>
  <c r="W54" i="30"/>
  <c r="W2" i="30"/>
  <c r="AI8" i="30"/>
  <c r="W12" i="30"/>
  <c r="W23" i="30"/>
  <c r="AI24" i="30"/>
  <c r="AC25" i="30"/>
  <c r="AC26" i="30"/>
  <c r="AI32" i="30"/>
  <c r="AI35" i="30"/>
  <c r="W38" i="30"/>
  <c r="W39" i="30"/>
  <c r="W48" i="30"/>
  <c r="AC30" i="30"/>
  <c r="AC12" i="30"/>
  <c r="AC8" i="30"/>
  <c r="AC35" i="30"/>
  <c r="W50" i="30"/>
  <c r="AC2" i="30"/>
  <c r="W9" i="30"/>
  <c r="AC18" i="30"/>
  <c r="AC24" i="30"/>
  <c r="W25" i="30"/>
  <c r="AC39" i="30"/>
  <c r="AC3" i="30"/>
  <c r="W5" i="30"/>
  <c r="AI21" i="30"/>
  <c r="W30" i="30"/>
  <c r="AI33" i="30"/>
  <c r="AC4" i="30"/>
  <c r="AC7" i="30"/>
  <c r="AC11" i="30"/>
  <c r="W16" i="30"/>
  <c r="AC17" i="30"/>
  <c r="AI18" i="30"/>
  <c r="AC19" i="30"/>
  <c r="W32" i="30"/>
  <c r="AC36" i="30"/>
  <c r="AC22" i="30"/>
  <c r="AI3" i="30"/>
  <c r="W31" i="30"/>
  <c r="AI37" i="30"/>
  <c r="AI6" i="30"/>
  <c r="AI16" i="30"/>
  <c r="W19" i="30"/>
  <c r="AI19" i="30"/>
  <c r="AI23" i="30"/>
  <c r="AC10" i="30"/>
  <c r="AC6" i="30"/>
  <c r="W52" i="30"/>
  <c r="W18" i="30"/>
  <c r="AC20" i="30"/>
  <c r="W22" i="30"/>
  <c r="AI26" i="30"/>
  <c r="AI38" i="30"/>
  <c r="AI34" i="30"/>
  <c r="W37" i="30"/>
  <c r="AI17" i="30"/>
  <c r="AI10" i="30"/>
  <c r="AI25" i="30"/>
  <c r="AC38" i="30"/>
  <c r="AC34" i="30"/>
  <c r="W10" i="30"/>
  <c r="W6" i="30"/>
  <c r="L13" i="30"/>
  <c r="F13" i="30"/>
  <c r="G3" i="30"/>
  <c r="Q6" i="52" l="1"/>
  <c r="R6" i="52" s="1"/>
  <c r="Q6" i="70"/>
  <c r="R6" i="70" s="1"/>
  <c r="Q6" i="68"/>
  <c r="R6" i="68" s="1"/>
  <c r="Q6" i="64"/>
  <c r="R6" i="64" s="1"/>
  <c r="Q5" i="66"/>
  <c r="R5" i="66" s="1"/>
  <c r="R28" i="43"/>
  <c r="G4" i="30"/>
  <c r="H3" i="30"/>
  <c r="Q7" i="52" l="1"/>
  <c r="R7" i="52" s="1"/>
  <c r="Q7" i="70"/>
  <c r="R7" i="70" s="1"/>
  <c r="Q7" i="68"/>
  <c r="R7" i="68" s="1"/>
  <c r="Q7" i="64"/>
  <c r="R7" i="64" s="1"/>
  <c r="Q6" i="66"/>
  <c r="R6" i="66" s="1"/>
  <c r="R29" i="43"/>
  <c r="H4" i="30"/>
  <c r="G5" i="30"/>
  <c r="Q8" i="52" l="1"/>
  <c r="R8" i="52" s="1"/>
  <c r="Q8" i="70"/>
  <c r="R8" i="70" s="1"/>
  <c r="Q8" i="68"/>
  <c r="R8" i="68" s="1"/>
  <c r="Q8" i="64"/>
  <c r="R8" i="64" s="1"/>
  <c r="Q7" i="66"/>
  <c r="R7" i="66" s="1"/>
  <c r="R30" i="43"/>
  <c r="G6" i="30"/>
  <c r="H5" i="30"/>
  <c r="Q9" i="52" l="1"/>
  <c r="R9" i="52" s="1"/>
  <c r="Q9" i="70"/>
  <c r="R9" i="70" s="1"/>
  <c r="Q9" i="68"/>
  <c r="R9" i="68" s="1"/>
  <c r="Q9" i="64"/>
  <c r="R9" i="64" s="1"/>
  <c r="Q8" i="66"/>
  <c r="R8" i="66" s="1"/>
  <c r="R31" i="43"/>
  <c r="H6" i="30"/>
  <c r="G7" i="30"/>
  <c r="Q10" i="52" l="1"/>
  <c r="R10" i="52" s="1"/>
  <c r="Q10" i="70"/>
  <c r="R10" i="70" s="1"/>
  <c r="Q10" i="68"/>
  <c r="R10" i="68" s="1"/>
  <c r="Q10" i="64"/>
  <c r="R10" i="64" s="1"/>
  <c r="Q9" i="66"/>
  <c r="R9" i="66" s="1"/>
  <c r="R32" i="43"/>
  <c r="G8" i="30"/>
  <c r="H7" i="30"/>
  <c r="Q11" i="52" l="1"/>
  <c r="R11" i="52" s="1"/>
  <c r="Q11" i="70"/>
  <c r="R11" i="70" s="1"/>
  <c r="Q11" i="68"/>
  <c r="R11" i="68" s="1"/>
  <c r="Q11" i="64"/>
  <c r="R11" i="64" s="1"/>
  <c r="Q10" i="66"/>
  <c r="R10" i="66" s="1"/>
  <c r="R33" i="43"/>
  <c r="H8" i="30"/>
  <c r="G9" i="30"/>
  <c r="Q12" i="52" l="1"/>
  <c r="R12" i="52" s="1"/>
  <c r="Q12" i="70"/>
  <c r="R12" i="70" s="1"/>
  <c r="Q12" i="68"/>
  <c r="R12" i="68" s="1"/>
  <c r="Q12" i="64"/>
  <c r="R12" i="64" s="1"/>
  <c r="Q11" i="66"/>
  <c r="R11" i="66" s="1"/>
  <c r="R34" i="43"/>
  <c r="G10" i="30"/>
  <c r="H9" i="30"/>
  <c r="Q13" i="52" l="1"/>
  <c r="R13" i="52" s="1"/>
  <c r="Q13" i="70"/>
  <c r="R13" i="70" s="1"/>
  <c r="Q13" i="68"/>
  <c r="R13" i="68" s="1"/>
  <c r="Q13" i="64"/>
  <c r="R13" i="64" s="1"/>
  <c r="Q12" i="66"/>
  <c r="R12" i="66" s="1"/>
  <c r="R35" i="43"/>
  <c r="H10" i="30"/>
  <c r="G11" i="30"/>
  <c r="Q14" i="52" l="1"/>
  <c r="R14" i="52" s="1"/>
  <c r="Q14" i="70"/>
  <c r="R14" i="70" s="1"/>
  <c r="Q14" i="68"/>
  <c r="R14" i="68" s="1"/>
  <c r="Q14" i="64"/>
  <c r="R14" i="64" s="1"/>
  <c r="Q13" i="66"/>
  <c r="R13" i="66" s="1"/>
  <c r="R36" i="43"/>
  <c r="G13" i="30"/>
  <c r="G12" i="30"/>
  <c r="H11" i="30"/>
  <c r="Q15" i="52" l="1"/>
  <c r="R15" i="52" s="1"/>
  <c r="Q15" i="70"/>
  <c r="R15" i="70" s="1"/>
  <c r="Q15" i="68"/>
  <c r="R15" i="68" s="1"/>
  <c r="Q15" i="64"/>
  <c r="R15" i="64" s="1"/>
  <c r="Q14" i="66"/>
  <c r="R14" i="66" s="1"/>
  <c r="R37" i="43"/>
  <c r="H13" i="30"/>
  <c r="H12" i="30"/>
  <c r="Q16" i="52" l="1"/>
  <c r="R16" i="52" s="1"/>
  <c r="Q16" i="70"/>
  <c r="R16" i="70" s="1"/>
  <c r="Q16" i="68"/>
  <c r="R16" i="68" s="1"/>
  <c r="Q17" i="64"/>
  <c r="R17" i="64" s="1"/>
  <c r="Q16" i="64"/>
  <c r="R16" i="64" s="1"/>
  <c r="Q15" i="66"/>
  <c r="R15" i="66" s="1"/>
  <c r="R38" i="43"/>
  <c r="Q41" i="43"/>
  <c r="R42" i="43" s="1"/>
  <c r="Q18" i="52" l="1"/>
  <c r="R18" i="52" s="1"/>
  <c r="Q17" i="52"/>
  <c r="R17" i="52" s="1"/>
  <c r="Q17" i="70"/>
  <c r="R17" i="70" s="1"/>
  <c r="Q17" i="68"/>
  <c r="R17" i="68" s="1"/>
  <c r="Q16" i="66"/>
  <c r="R16" i="66" s="1"/>
  <c r="I13" i="6"/>
  <c r="E13" i="6"/>
  <c r="F13" i="6" s="1"/>
  <c r="M13" i="6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Q18" i="70" l="1"/>
  <c r="R18" i="70" s="1"/>
  <c r="Q19" i="68"/>
  <c r="R19" i="68" s="1"/>
  <c r="Q18" i="68"/>
  <c r="R18" i="68" s="1"/>
  <c r="Q18" i="66"/>
  <c r="R18" i="66" s="1"/>
  <c r="Q17" i="66"/>
  <c r="R17" i="66" s="1"/>
  <c r="C5" i="31"/>
  <c r="M24" i="42"/>
  <c r="J24" i="42"/>
  <c r="G24" i="42"/>
  <c r="E24" i="42"/>
  <c r="J23" i="42"/>
  <c r="K24" i="42" s="1"/>
  <c r="E23" i="42"/>
  <c r="K22" i="42"/>
  <c r="J22" i="42"/>
  <c r="K23" i="42" s="1"/>
  <c r="E22" i="42"/>
  <c r="J21" i="42"/>
  <c r="E21" i="42"/>
  <c r="J20" i="42"/>
  <c r="K21" i="42" s="1"/>
  <c r="E20" i="42"/>
  <c r="J19" i="42"/>
  <c r="K20" i="42" s="1"/>
  <c r="E19" i="42"/>
  <c r="K18" i="42"/>
  <c r="J18" i="42"/>
  <c r="K19" i="42" s="1"/>
  <c r="E18" i="42"/>
  <c r="J17" i="42"/>
  <c r="E17" i="42"/>
  <c r="J16" i="42"/>
  <c r="K17" i="42" s="1"/>
  <c r="E16" i="42"/>
  <c r="J15" i="42"/>
  <c r="K16" i="42" s="1"/>
  <c r="E15" i="42"/>
  <c r="K14" i="42"/>
  <c r="J14" i="42"/>
  <c r="K15" i="42" s="1"/>
  <c r="E14" i="42"/>
  <c r="J13" i="42"/>
  <c r="E13" i="42"/>
  <c r="J12" i="42"/>
  <c r="K13" i="42" s="1"/>
  <c r="E12" i="42"/>
  <c r="J11" i="42"/>
  <c r="K12" i="42" s="1"/>
  <c r="E11" i="42"/>
  <c r="K10" i="42"/>
  <c r="J10" i="42"/>
  <c r="K11" i="42" s="1"/>
  <c r="E10" i="42"/>
  <c r="J9" i="42"/>
  <c r="E9" i="42"/>
  <c r="J8" i="42"/>
  <c r="K9" i="42" s="1"/>
  <c r="E8" i="42"/>
  <c r="J7" i="42"/>
  <c r="K8" i="42" s="1"/>
  <c r="E7" i="42"/>
  <c r="K6" i="42"/>
  <c r="J6" i="42"/>
  <c r="K7" i="42" s="1"/>
  <c r="E6" i="42"/>
  <c r="J5" i="42"/>
  <c r="E5" i="42"/>
  <c r="M4" i="42"/>
  <c r="J4" i="42"/>
  <c r="K5" i="42" s="1"/>
  <c r="E4" i="42"/>
  <c r="B4" i="42"/>
  <c r="B5" i="42" s="1"/>
  <c r="N3" i="42"/>
  <c r="M3" i="42"/>
  <c r="N4" i="42" s="1"/>
  <c r="J3" i="42"/>
  <c r="K4" i="42" s="1"/>
  <c r="H3" i="42"/>
  <c r="G3" i="42"/>
  <c r="F3" i="42"/>
  <c r="E3" i="42"/>
  <c r="C3" i="42"/>
  <c r="I3" i="42" s="1"/>
  <c r="M2" i="42"/>
  <c r="J2" i="42"/>
  <c r="K3" i="42" s="1"/>
  <c r="G2" i="42"/>
  <c r="N24" i="41"/>
  <c r="M24" i="41"/>
  <c r="J24" i="41"/>
  <c r="G24" i="41"/>
  <c r="F24" i="41"/>
  <c r="E24" i="41"/>
  <c r="C24" i="41"/>
  <c r="L24" i="41" s="1"/>
  <c r="N23" i="41"/>
  <c r="M23" i="41"/>
  <c r="J23" i="41"/>
  <c r="K24" i="41" s="1"/>
  <c r="G23" i="41"/>
  <c r="H24" i="41" s="1"/>
  <c r="I24" i="41" s="1"/>
  <c r="F23" i="41"/>
  <c r="E23" i="41"/>
  <c r="C23" i="41"/>
  <c r="L23" i="41" s="1"/>
  <c r="N22" i="41"/>
  <c r="M22" i="41"/>
  <c r="J22" i="41"/>
  <c r="K23" i="41" s="1"/>
  <c r="G22" i="41"/>
  <c r="H23" i="41" s="1"/>
  <c r="I23" i="41" s="1"/>
  <c r="F22" i="41"/>
  <c r="E22" i="41"/>
  <c r="C22" i="41"/>
  <c r="N21" i="41"/>
  <c r="M21" i="41"/>
  <c r="J21" i="41"/>
  <c r="K22" i="41" s="1"/>
  <c r="G21" i="41"/>
  <c r="H22" i="41" s="1"/>
  <c r="I22" i="41" s="1"/>
  <c r="F21" i="41"/>
  <c r="E21" i="41"/>
  <c r="C21" i="41"/>
  <c r="L21" i="41" s="1"/>
  <c r="N20" i="41"/>
  <c r="M20" i="41"/>
  <c r="J20" i="41"/>
  <c r="K21" i="41" s="1"/>
  <c r="G20" i="41"/>
  <c r="H21" i="41" s="1"/>
  <c r="I21" i="41" s="1"/>
  <c r="F20" i="41"/>
  <c r="E20" i="41"/>
  <c r="C20" i="41"/>
  <c r="L20" i="41" s="1"/>
  <c r="N19" i="41"/>
  <c r="M19" i="41"/>
  <c r="J19" i="41"/>
  <c r="K20" i="41" s="1"/>
  <c r="G19" i="41"/>
  <c r="H20" i="41" s="1"/>
  <c r="I20" i="41" s="1"/>
  <c r="F19" i="41"/>
  <c r="E19" i="41"/>
  <c r="C19" i="41"/>
  <c r="L19" i="41" s="1"/>
  <c r="N18" i="41"/>
  <c r="M18" i="41"/>
  <c r="J18" i="41"/>
  <c r="K19" i="41" s="1"/>
  <c r="G18" i="41"/>
  <c r="H19" i="41" s="1"/>
  <c r="I19" i="41" s="1"/>
  <c r="F18" i="41"/>
  <c r="E18" i="41"/>
  <c r="C18" i="41"/>
  <c r="N17" i="41"/>
  <c r="M17" i="41"/>
  <c r="J17" i="41"/>
  <c r="K18" i="41" s="1"/>
  <c r="G17" i="41"/>
  <c r="H18" i="41" s="1"/>
  <c r="I18" i="41" s="1"/>
  <c r="F17" i="41"/>
  <c r="E17" i="41"/>
  <c r="C17" i="41"/>
  <c r="N16" i="41"/>
  <c r="M16" i="41"/>
  <c r="J16" i="41"/>
  <c r="K17" i="41" s="1"/>
  <c r="G16" i="41"/>
  <c r="H17" i="41" s="1"/>
  <c r="F16" i="41"/>
  <c r="E16" i="41"/>
  <c r="C16" i="41"/>
  <c r="N15" i="41"/>
  <c r="M15" i="41"/>
  <c r="J15" i="41"/>
  <c r="K16" i="41" s="1"/>
  <c r="G15" i="41"/>
  <c r="H16" i="41" s="1"/>
  <c r="F15" i="41"/>
  <c r="E15" i="41"/>
  <c r="C15" i="41"/>
  <c r="N14" i="41"/>
  <c r="M14" i="41"/>
  <c r="J14" i="41"/>
  <c r="K15" i="41" s="1"/>
  <c r="G14" i="41"/>
  <c r="H15" i="41" s="1"/>
  <c r="F14" i="41"/>
  <c r="E14" i="41"/>
  <c r="C14" i="41"/>
  <c r="N13" i="41"/>
  <c r="M13" i="41"/>
  <c r="J13" i="41"/>
  <c r="K14" i="41" s="1"/>
  <c r="G13" i="41"/>
  <c r="H14" i="41" s="1"/>
  <c r="F13" i="41"/>
  <c r="E13" i="41"/>
  <c r="C13" i="41"/>
  <c r="N12" i="41"/>
  <c r="M12" i="41"/>
  <c r="J12" i="41"/>
  <c r="K13" i="41" s="1"/>
  <c r="G12" i="41"/>
  <c r="H13" i="41" s="1"/>
  <c r="F12" i="41"/>
  <c r="E12" i="41"/>
  <c r="C12" i="41"/>
  <c r="N11" i="41"/>
  <c r="M11" i="41"/>
  <c r="J11" i="41"/>
  <c r="K12" i="41" s="1"/>
  <c r="G11" i="41"/>
  <c r="H12" i="41" s="1"/>
  <c r="F11" i="41"/>
  <c r="E11" i="41"/>
  <c r="C11" i="41"/>
  <c r="N10" i="41"/>
  <c r="M10" i="41"/>
  <c r="J10" i="41"/>
  <c r="K11" i="41" s="1"/>
  <c r="G10" i="41"/>
  <c r="H11" i="41" s="1"/>
  <c r="F10" i="41"/>
  <c r="E10" i="41"/>
  <c r="C10" i="41"/>
  <c r="N9" i="41"/>
  <c r="M9" i="41"/>
  <c r="J9" i="41"/>
  <c r="K10" i="41" s="1"/>
  <c r="G9" i="41"/>
  <c r="H10" i="41" s="1"/>
  <c r="F9" i="41"/>
  <c r="E9" i="41"/>
  <c r="C9" i="41"/>
  <c r="I9" i="41" s="1"/>
  <c r="N8" i="41"/>
  <c r="M8" i="41"/>
  <c r="J8" i="41"/>
  <c r="K9" i="41" s="1"/>
  <c r="G8" i="41"/>
  <c r="H9" i="41" s="1"/>
  <c r="F8" i="41"/>
  <c r="E8" i="41"/>
  <c r="C8" i="41"/>
  <c r="N7" i="41"/>
  <c r="M7" i="41"/>
  <c r="J7" i="41"/>
  <c r="K8" i="41" s="1"/>
  <c r="G7" i="41"/>
  <c r="H8" i="41" s="1"/>
  <c r="F7" i="41"/>
  <c r="E7" i="41"/>
  <c r="C7" i="41"/>
  <c r="N6" i="41"/>
  <c r="M6" i="41"/>
  <c r="J6" i="41"/>
  <c r="K7" i="41" s="1"/>
  <c r="G6" i="41"/>
  <c r="H7" i="41" s="1"/>
  <c r="F6" i="41"/>
  <c r="E6" i="41"/>
  <c r="C6" i="41"/>
  <c r="N5" i="41"/>
  <c r="M5" i="41"/>
  <c r="J5" i="41"/>
  <c r="K6" i="41" s="1"/>
  <c r="G5" i="41"/>
  <c r="H6" i="41" s="1"/>
  <c r="F5" i="41"/>
  <c r="E5" i="41"/>
  <c r="C5" i="41"/>
  <c r="N4" i="41"/>
  <c r="M4" i="41"/>
  <c r="J4" i="41"/>
  <c r="K5" i="41" s="1"/>
  <c r="G4" i="41"/>
  <c r="H5" i="41" s="1"/>
  <c r="F4" i="41"/>
  <c r="E4" i="41"/>
  <c r="C4" i="41"/>
  <c r="N3" i="41"/>
  <c r="M3" i="41"/>
  <c r="J3" i="41"/>
  <c r="K4" i="41" s="1"/>
  <c r="G3" i="41"/>
  <c r="H4" i="41" s="1"/>
  <c r="F3" i="41"/>
  <c r="F25" i="41" s="1"/>
  <c r="B28" i="41" s="1"/>
  <c r="E3" i="41"/>
  <c r="C3" i="41"/>
  <c r="M2" i="41"/>
  <c r="J2" i="41"/>
  <c r="K3" i="41" s="1"/>
  <c r="G2" i="41"/>
  <c r="N24" i="40"/>
  <c r="O24" i="40" s="1"/>
  <c r="J24" i="40"/>
  <c r="G24" i="40"/>
  <c r="F24" i="40"/>
  <c r="E24" i="40"/>
  <c r="C24" i="40"/>
  <c r="L24" i="40" s="1"/>
  <c r="N23" i="40"/>
  <c r="O23" i="40" s="1"/>
  <c r="J23" i="40"/>
  <c r="K24" i="40" s="1"/>
  <c r="G23" i="40"/>
  <c r="H24" i="40" s="1"/>
  <c r="I24" i="40" s="1"/>
  <c r="F23" i="40"/>
  <c r="E23" i="40"/>
  <c r="C23" i="40"/>
  <c r="L23" i="40" s="1"/>
  <c r="N22" i="40"/>
  <c r="O22" i="40" s="1"/>
  <c r="J22" i="40"/>
  <c r="K23" i="40" s="1"/>
  <c r="G22" i="40"/>
  <c r="H23" i="40" s="1"/>
  <c r="I23" i="40" s="1"/>
  <c r="F22" i="40"/>
  <c r="E22" i="40"/>
  <c r="C22" i="40"/>
  <c r="N21" i="40"/>
  <c r="O21" i="40" s="1"/>
  <c r="J21" i="40"/>
  <c r="K22" i="40" s="1"/>
  <c r="G21" i="40"/>
  <c r="H22" i="40" s="1"/>
  <c r="I22" i="40" s="1"/>
  <c r="F21" i="40"/>
  <c r="E21" i="40"/>
  <c r="C21" i="40"/>
  <c r="L21" i="40" s="1"/>
  <c r="N20" i="40"/>
  <c r="O20" i="40" s="1"/>
  <c r="J20" i="40"/>
  <c r="K21" i="40" s="1"/>
  <c r="G20" i="40"/>
  <c r="H21" i="40" s="1"/>
  <c r="I21" i="40" s="1"/>
  <c r="F20" i="40"/>
  <c r="E20" i="40"/>
  <c r="C20" i="40"/>
  <c r="L20" i="40" s="1"/>
  <c r="N19" i="40"/>
  <c r="O19" i="40" s="1"/>
  <c r="J19" i="40"/>
  <c r="K20" i="40" s="1"/>
  <c r="G19" i="40"/>
  <c r="H20" i="40" s="1"/>
  <c r="I20" i="40" s="1"/>
  <c r="F19" i="40"/>
  <c r="E19" i="40"/>
  <c r="C19" i="40"/>
  <c r="L19" i="40" s="1"/>
  <c r="N18" i="40"/>
  <c r="O18" i="40" s="1"/>
  <c r="J18" i="40"/>
  <c r="K19" i="40" s="1"/>
  <c r="G18" i="40"/>
  <c r="H19" i="40" s="1"/>
  <c r="I19" i="40" s="1"/>
  <c r="F18" i="40"/>
  <c r="E18" i="40"/>
  <c r="C18" i="40"/>
  <c r="N17" i="40"/>
  <c r="O17" i="40" s="1"/>
  <c r="J17" i="40"/>
  <c r="K18" i="40" s="1"/>
  <c r="G17" i="40"/>
  <c r="H18" i="40" s="1"/>
  <c r="I18" i="40" s="1"/>
  <c r="F17" i="40"/>
  <c r="E17" i="40"/>
  <c r="C17" i="40"/>
  <c r="L17" i="40" s="1"/>
  <c r="N16" i="40"/>
  <c r="O16" i="40" s="1"/>
  <c r="J16" i="40"/>
  <c r="K17" i="40" s="1"/>
  <c r="G16" i="40"/>
  <c r="H17" i="40" s="1"/>
  <c r="I17" i="40" s="1"/>
  <c r="F16" i="40"/>
  <c r="E16" i="40"/>
  <c r="C16" i="40"/>
  <c r="L16" i="40" s="1"/>
  <c r="N15" i="40"/>
  <c r="O15" i="40" s="1"/>
  <c r="J15" i="40"/>
  <c r="K16" i="40" s="1"/>
  <c r="G15" i="40"/>
  <c r="H16" i="40" s="1"/>
  <c r="I16" i="40" s="1"/>
  <c r="F15" i="40"/>
  <c r="E15" i="40"/>
  <c r="C15" i="40"/>
  <c r="L15" i="40" s="1"/>
  <c r="N14" i="40"/>
  <c r="O14" i="40" s="1"/>
  <c r="J14" i="40"/>
  <c r="K15" i="40" s="1"/>
  <c r="G14" i="40"/>
  <c r="H15" i="40" s="1"/>
  <c r="I15" i="40" s="1"/>
  <c r="F14" i="40"/>
  <c r="E14" i="40"/>
  <c r="C14" i="40"/>
  <c r="N13" i="40"/>
  <c r="O13" i="40" s="1"/>
  <c r="J13" i="40"/>
  <c r="K14" i="40" s="1"/>
  <c r="G13" i="40"/>
  <c r="H14" i="40" s="1"/>
  <c r="I14" i="40" s="1"/>
  <c r="F13" i="40"/>
  <c r="E13" i="40"/>
  <c r="C13" i="40"/>
  <c r="L13" i="40" s="1"/>
  <c r="N12" i="40"/>
  <c r="O12" i="40" s="1"/>
  <c r="J12" i="40"/>
  <c r="K13" i="40" s="1"/>
  <c r="G12" i="40"/>
  <c r="H13" i="40" s="1"/>
  <c r="I13" i="40" s="1"/>
  <c r="F12" i="40"/>
  <c r="E12" i="40"/>
  <c r="C12" i="40"/>
  <c r="L12" i="40" s="1"/>
  <c r="N11" i="40"/>
  <c r="O11" i="40" s="1"/>
  <c r="J11" i="40"/>
  <c r="K12" i="40" s="1"/>
  <c r="G11" i="40"/>
  <c r="H12" i="40" s="1"/>
  <c r="I12" i="40" s="1"/>
  <c r="F11" i="40"/>
  <c r="E11" i="40"/>
  <c r="C11" i="40"/>
  <c r="L11" i="40" s="1"/>
  <c r="N10" i="40"/>
  <c r="O10" i="40" s="1"/>
  <c r="J10" i="40"/>
  <c r="K11" i="40" s="1"/>
  <c r="G10" i="40"/>
  <c r="H11" i="40" s="1"/>
  <c r="I11" i="40" s="1"/>
  <c r="F10" i="40"/>
  <c r="E10" i="40"/>
  <c r="C10" i="40"/>
  <c r="N9" i="40"/>
  <c r="O9" i="40" s="1"/>
  <c r="J9" i="40"/>
  <c r="K10" i="40" s="1"/>
  <c r="G9" i="40"/>
  <c r="H10" i="40" s="1"/>
  <c r="I10" i="40" s="1"/>
  <c r="F9" i="40"/>
  <c r="E9" i="40"/>
  <c r="C9" i="40"/>
  <c r="L9" i="40" s="1"/>
  <c r="N8" i="40"/>
  <c r="O8" i="40" s="1"/>
  <c r="J8" i="40"/>
  <c r="K9" i="40" s="1"/>
  <c r="G8" i="40"/>
  <c r="H9" i="40" s="1"/>
  <c r="I9" i="40" s="1"/>
  <c r="F8" i="40"/>
  <c r="E8" i="40"/>
  <c r="C8" i="40"/>
  <c r="L8" i="40" s="1"/>
  <c r="N7" i="40"/>
  <c r="O7" i="40" s="1"/>
  <c r="J7" i="40"/>
  <c r="K8" i="40" s="1"/>
  <c r="G7" i="40"/>
  <c r="H8" i="40" s="1"/>
  <c r="I8" i="40" s="1"/>
  <c r="F7" i="40"/>
  <c r="E7" i="40"/>
  <c r="C7" i="40"/>
  <c r="L7" i="40" s="1"/>
  <c r="N6" i="40"/>
  <c r="O6" i="40" s="1"/>
  <c r="J6" i="40"/>
  <c r="K7" i="40" s="1"/>
  <c r="G6" i="40"/>
  <c r="H7" i="40" s="1"/>
  <c r="I7" i="40" s="1"/>
  <c r="F6" i="40"/>
  <c r="E6" i="40"/>
  <c r="C6" i="40"/>
  <c r="N5" i="40"/>
  <c r="O5" i="40" s="1"/>
  <c r="J5" i="40"/>
  <c r="K6" i="40" s="1"/>
  <c r="G5" i="40"/>
  <c r="H6" i="40" s="1"/>
  <c r="I6" i="40" s="1"/>
  <c r="F5" i="40"/>
  <c r="E5" i="40"/>
  <c r="C5" i="40"/>
  <c r="L5" i="40" s="1"/>
  <c r="N4" i="40"/>
  <c r="O4" i="40" s="1"/>
  <c r="J4" i="40"/>
  <c r="K5" i="40" s="1"/>
  <c r="G4" i="40"/>
  <c r="H5" i="40" s="1"/>
  <c r="I5" i="40" s="1"/>
  <c r="F4" i="40"/>
  <c r="E4" i="40"/>
  <c r="C4" i="40"/>
  <c r="L4" i="40" s="1"/>
  <c r="N3" i="40"/>
  <c r="O3" i="40" s="1"/>
  <c r="J3" i="40"/>
  <c r="K4" i="40" s="1"/>
  <c r="G3" i="40"/>
  <c r="H4" i="40" s="1"/>
  <c r="I4" i="40" s="1"/>
  <c r="F3" i="40"/>
  <c r="F25" i="40" s="1"/>
  <c r="B28" i="40" s="1"/>
  <c r="E3" i="40"/>
  <c r="C3" i="40"/>
  <c r="N23" i="39"/>
  <c r="M23" i="39"/>
  <c r="J23" i="39"/>
  <c r="H23" i="39"/>
  <c r="G23" i="39"/>
  <c r="F23" i="39"/>
  <c r="E23" i="39"/>
  <c r="C23" i="39"/>
  <c r="I23" i="39" s="1"/>
  <c r="N22" i="39"/>
  <c r="M22" i="39"/>
  <c r="J22" i="39"/>
  <c r="K23" i="39" s="1"/>
  <c r="H22" i="39"/>
  <c r="G22" i="39"/>
  <c r="F22" i="39"/>
  <c r="E22" i="39"/>
  <c r="C22" i="39"/>
  <c r="I22" i="39" s="1"/>
  <c r="N21" i="39"/>
  <c r="M21" i="39"/>
  <c r="J21" i="39"/>
  <c r="K22" i="39" s="1"/>
  <c r="H21" i="39"/>
  <c r="G21" i="39"/>
  <c r="F21" i="39"/>
  <c r="E21" i="39"/>
  <c r="C21" i="39"/>
  <c r="I21" i="39" s="1"/>
  <c r="N20" i="39"/>
  <c r="M20" i="39"/>
  <c r="J20" i="39"/>
  <c r="K21" i="39" s="1"/>
  <c r="H20" i="39"/>
  <c r="G20" i="39"/>
  <c r="F20" i="39"/>
  <c r="E20" i="39"/>
  <c r="C20" i="39"/>
  <c r="I20" i="39" s="1"/>
  <c r="N19" i="39"/>
  <c r="M19" i="39"/>
  <c r="J19" i="39"/>
  <c r="K20" i="39" s="1"/>
  <c r="H19" i="39"/>
  <c r="G19" i="39"/>
  <c r="F19" i="39"/>
  <c r="E19" i="39"/>
  <c r="C19" i="39"/>
  <c r="I19" i="39" s="1"/>
  <c r="N18" i="39"/>
  <c r="M18" i="39"/>
  <c r="J18" i="39"/>
  <c r="K19" i="39" s="1"/>
  <c r="H18" i="39"/>
  <c r="G18" i="39"/>
  <c r="F18" i="39"/>
  <c r="E18" i="39"/>
  <c r="C18" i="39"/>
  <c r="I18" i="39" s="1"/>
  <c r="N17" i="39"/>
  <c r="M17" i="39"/>
  <c r="J17" i="39"/>
  <c r="K18" i="39" s="1"/>
  <c r="H17" i="39"/>
  <c r="G17" i="39"/>
  <c r="F17" i="39"/>
  <c r="E17" i="39"/>
  <c r="C17" i="39"/>
  <c r="I17" i="39" s="1"/>
  <c r="N16" i="39"/>
  <c r="M16" i="39"/>
  <c r="J16" i="39"/>
  <c r="K17" i="39" s="1"/>
  <c r="H16" i="39"/>
  <c r="G16" i="39"/>
  <c r="F16" i="39"/>
  <c r="E16" i="39"/>
  <c r="C16" i="39"/>
  <c r="I16" i="39" s="1"/>
  <c r="N15" i="39"/>
  <c r="M15" i="39"/>
  <c r="J15" i="39"/>
  <c r="K16" i="39" s="1"/>
  <c r="H15" i="39"/>
  <c r="G15" i="39"/>
  <c r="F15" i="39"/>
  <c r="E15" i="39"/>
  <c r="C15" i="39"/>
  <c r="I15" i="39" s="1"/>
  <c r="N14" i="39"/>
  <c r="M14" i="39"/>
  <c r="J14" i="39"/>
  <c r="K15" i="39" s="1"/>
  <c r="H14" i="39"/>
  <c r="G14" i="39"/>
  <c r="F14" i="39"/>
  <c r="E14" i="39"/>
  <c r="C14" i="39"/>
  <c r="I14" i="39" s="1"/>
  <c r="N13" i="39"/>
  <c r="M13" i="39"/>
  <c r="J13" i="39"/>
  <c r="K14" i="39" s="1"/>
  <c r="H13" i="39"/>
  <c r="G13" i="39"/>
  <c r="F13" i="39"/>
  <c r="E13" i="39"/>
  <c r="C13" i="39"/>
  <c r="I13" i="39" s="1"/>
  <c r="N12" i="39"/>
  <c r="M12" i="39"/>
  <c r="J12" i="39"/>
  <c r="K13" i="39" s="1"/>
  <c r="H12" i="39"/>
  <c r="G12" i="39"/>
  <c r="F12" i="39"/>
  <c r="E12" i="39"/>
  <c r="C12" i="39"/>
  <c r="I12" i="39" s="1"/>
  <c r="N11" i="39"/>
  <c r="M11" i="39"/>
  <c r="J11" i="39"/>
  <c r="K12" i="39" s="1"/>
  <c r="H11" i="39"/>
  <c r="G11" i="39"/>
  <c r="F11" i="39"/>
  <c r="E11" i="39"/>
  <c r="C11" i="39"/>
  <c r="I11" i="39" s="1"/>
  <c r="N10" i="39"/>
  <c r="M10" i="39"/>
  <c r="J10" i="39"/>
  <c r="K11" i="39" s="1"/>
  <c r="H10" i="39"/>
  <c r="G10" i="39"/>
  <c r="F10" i="39"/>
  <c r="E10" i="39"/>
  <c r="C10" i="39"/>
  <c r="I10" i="39" s="1"/>
  <c r="N9" i="39"/>
  <c r="M9" i="39"/>
  <c r="J9" i="39"/>
  <c r="K10" i="39" s="1"/>
  <c r="H9" i="39"/>
  <c r="G9" i="39"/>
  <c r="F9" i="39"/>
  <c r="E9" i="39"/>
  <c r="C9" i="39"/>
  <c r="I9" i="39" s="1"/>
  <c r="N8" i="39"/>
  <c r="M8" i="39"/>
  <c r="J8" i="39"/>
  <c r="K9" i="39" s="1"/>
  <c r="H8" i="39"/>
  <c r="G8" i="39"/>
  <c r="F8" i="39"/>
  <c r="E8" i="39"/>
  <c r="C8" i="39"/>
  <c r="I8" i="39" s="1"/>
  <c r="N7" i="39"/>
  <c r="M7" i="39"/>
  <c r="J7" i="39"/>
  <c r="K8" i="39" s="1"/>
  <c r="H7" i="39"/>
  <c r="G7" i="39"/>
  <c r="F7" i="39"/>
  <c r="E7" i="39"/>
  <c r="C7" i="39"/>
  <c r="I7" i="39" s="1"/>
  <c r="N6" i="39"/>
  <c r="M6" i="39"/>
  <c r="J6" i="39"/>
  <c r="K7" i="39" s="1"/>
  <c r="H6" i="39"/>
  <c r="G6" i="39"/>
  <c r="F6" i="39"/>
  <c r="E6" i="39"/>
  <c r="C6" i="39"/>
  <c r="I6" i="39" s="1"/>
  <c r="N5" i="39"/>
  <c r="M5" i="39"/>
  <c r="J5" i="39"/>
  <c r="K6" i="39" s="1"/>
  <c r="H5" i="39"/>
  <c r="G5" i="39"/>
  <c r="F5" i="39"/>
  <c r="E5" i="39"/>
  <c r="C5" i="39"/>
  <c r="I5" i="39" s="1"/>
  <c r="N4" i="39"/>
  <c r="M4" i="39"/>
  <c r="J4" i="39"/>
  <c r="K5" i="39" s="1"/>
  <c r="H4" i="39"/>
  <c r="G4" i="39"/>
  <c r="F4" i="39"/>
  <c r="E4" i="39"/>
  <c r="C4" i="39"/>
  <c r="I4" i="39" s="1"/>
  <c r="N3" i="39"/>
  <c r="M3" i="39"/>
  <c r="J3" i="39"/>
  <c r="K4" i="39" s="1"/>
  <c r="H3" i="39"/>
  <c r="G3" i="39"/>
  <c r="F3" i="39"/>
  <c r="F24" i="39" s="1"/>
  <c r="B27" i="39" s="1"/>
  <c r="E3" i="39"/>
  <c r="C3" i="39"/>
  <c r="I3" i="39" s="1"/>
  <c r="I24" i="39" s="1"/>
  <c r="B28" i="39" s="1"/>
  <c r="B29" i="39" s="1"/>
  <c r="N23" i="38"/>
  <c r="M23" i="38"/>
  <c r="J23" i="38"/>
  <c r="G23" i="38"/>
  <c r="F23" i="38"/>
  <c r="E23" i="38"/>
  <c r="C23" i="38"/>
  <c r="L23" i="38" s="1"/>
  <c r="N22" i="38"/>
  <c r="M22" i="38"/>
  <c r="J22" i="38"/>
  <c r="K23" i="38" s="1"/>
  <c r="G22" i="38"/>
  <c r="H23" i="38" s="1"/>
  <c r="I23" i="38" s="1"/>
  <c r="F22" i="38"/>
  <c r="E22" i="38"/>
  <c r="C22" i="38"/>
  <c r="L22" i="38" s="1"/>
  <c r="N21" i="38"/>
  <c r="M21" i="38"/>
  <c r="J21" i="38"/>
  <c r="K22" i="38" s="1"/>
  <c r="G21" i="38"/>
  <c r="H22" i="38" s="1"/>
  <c r="I22" i="38" s="1"/>
  <c r="F21" i="38"/>
  <c r="E21" i="38"/>
  <c r="C21" i="38"/>
  <c r="N20" i="38"/>
  <c r="M20" i="38"/>
  <c r="J20" i="38"/>
  <c r="K21" i="38" s="1"/>
  <c r="G20" i="38"/>
  <c r="H21" i="38" s="1"/>
  <c r="I21" i="38" s="1"/>
  <c r="F20" i="38"/>
  <c r="E20" i="38"/>
  <c r="C20" i="38"/>
  <c r="L20" i="38" s="1"/>
  <c r="N19" i="38"/>
  <c r="M19" i="38"/>
  <c r="J19" i="38"/>
  <c r="K20" i="38" s="1"/>
  <c r="G19" i="38"/>
  <c r="H20" i="38" s="1"/>
  <c r="I20" i="38" s="1"/>
  <c r="F19" i="38"/>
  <c r="E19" i="38"/>
  <c r="C19" i="38"/>
  <c r="L19" i="38" s="1"/>
  <c r="N18" i="38"/>
  <c r="M18" i="38"/>
  <c r="J18" i="38"/>
  <c r="K19" i="38" s="1"/>
  <c r="G18" i="38"/>
  <c r="H19" i="38" s="1"/>
  <c r="I19" i="38" s="1"/>
  <c r="F18" i="38"/>
  <c r="E18" i="38"/>
  <c r="C18" i="38"/>
  <c r="L18" i="38" s="1"/>
  <c r="N17" i="38"/>
  <c r="M17" i="38"/>
  <c r="J17" i="38"/>
  <c r="K18" i="38" s="1"/>
  <c r="G17" i="38"/>
  <c r="H18" i="38" s="1"/>
  <c r="I18" i="38" s="1"/>
  <c r="F17" i="38"/>
  <c r="E17" i="38"/>
  <c r="C17" i="38"/>
  <c r="N16" i="38"/>
  <c r="M16" i="38"/>
  <c r="J16" i="38"/>
  <c r="K17" i="38" s="1"/>
  <c r="G16" i="38"/>
  <c r="H17" i="38" s="1"/>
  <c r="I17" i="38" s="1"/>
  <c r="F16" i="38"/>
  <c r="E16" i="38"/>
  <c r="C16" i="38"/>
  <c r="L16" i="38" s="1"/>
  <c r="N15" i="38"/>
  <c r="M15" i="38"/>
  <c r="J15" i="38"/>
  <c r="K16" i="38" s="1"/>
  <c r="G15" i="38"/>
  <c r="H16" i="38" s="1"/>
  <c r="I16" i="38" s="1"/>
  <c r="F15" i="38"/>
  <c r="E15" i="38"/>
  <c r="C15" i="38"/>
  <c r="L15" i="38" s="1"/>
  <c r="N14" i="38"/>
  <c r="M14" i="38"/>
  <c r="J14" i="38"/>
  <c r="K15" i="38" s="1"/>
  <c r="G14" i="38"/>
  <c r="H15" i="38" s="1"/>
  <c r="I15" i="38" s="1"/>
  <c r="F14" i="38"/>
  <c r="E14" i="38"/>
  <c r="C14" i="38"/>
  <c r="L14" i="38" s="1"/>
  <c r="N13" i="38"/>
  <c r="M13" i="38"/>
  <c r="J13" i="38"/>
  <c r="K14" i="38" s="1"/>
  <c r="G13" i="38"/>
  <c r="H14" i="38" s="1"/>
  <c r="I14" i="38" s="1"/>
  <c r="F13" i="38"/>
  <c r="E13" i="38"/>
  <c r="C13" i="38"/>
  <c r="N12" i="38"/>
  <c r="M12" i="38"/>
  <c r="J12" i="38"/>
  <c r="K13" i="38" s="1"/>
  <c r="G12" i="38"/>
  <c r="H13" i="38" s="1"/>
  <c r="I13" i="38" s="1"/>
  <c r="F12" i="38"/>
  <c r="E12" i="38"/>
  <c r="C12" i="38"/>
  <c r="L12" i="38" s="1"/>
  <c r="N11" i="38"/>
  <c r="M11" i="38"/>
  <c r="J11" i="38"/>
  <c r="K12" i="38" s="1"/>
  <c r="G11" i="38"/>
  <c r="H12" i="38" s="1"/>
  <c r="I12" i="38" s="1"/>
  <c r="F11" i="38"/>
  <c r="E11" i="38"/>
  <c r="C11" i="38"/>
  <c r="L11" i="38" s="1"/>
  <c r="N10" i="38"/>
  <c r="M10" i="38"/>
  <c r="J10" i="38"/>
  <c r="K11" i="38" s="1"/>
  <c r="G10" i="38"/>
  <c r="H11" i="38" s="1"/>
  <c r="I11" i="38" s="1"/>
  <c r="F10" i="38"/>
  <c r="E10" i="38"/>
  <c r="C10" i="38"/>
  <c r="L10" i="38" s="1"/>
  <c r="N9" i="38"/>
  <c r="M9" i="38"/>
  <c r="J9" i="38"/>
  <c r="K10" i="38" s="1"/>
  <c r="G9" i="38"/>
  <c r="H10" i="38" s="1"/>
  <c r="I10" i="38" s="1"/>
  <c r="F9" i="38"/>
  <c r="E9" i="38"/>
  <c r="C9" i="38"/>
  <c r="N8" i="38"/>
  <c r="M8" i="38"/>
  <c r="J8" i="38"/>
  <c r="K9" i="38" s="1"/>
  <c r="G8" i="38"/>
  <c r="H9" i="38" s="1"/>
  <c r="I9" i="38" s="1"/>
  <c r="F8" i="38"/>
  <c r="E8" i="38"/>
  <c r="C8" i="38"/>
  <c r="L8" i="38" s="1"/>
  <c r="N7" i="38"/>
  <c r="M7" i="38"/>
  <c r="J7" i="38"/>
  <c r="K8" i="38" s="1"/>
  <c r="G7" i="38"/>
  <c r="H8" i="38" s="1"/>
  <c r="I8" i="38" s="1"/>
  <c r="F7" i="38"/>
  <c r="E7" i="38"/>
  <c r="C7" i="38"/>
  <c r="L7" i="38" s="1"/>
  <c r="N6" i="38"/>
  <c r="M6" i="38"/>
  <c r="J6" i="38"/>
  <c r="K7" i="38" s="1"/>
  <c r="G6" i="38"/>
  <c r="H7" i="38" s="1"/>
  <c r="I7" i="38" s="1"/>
  <c r="F6" i="38"/>
  <c r="E6" i="38"/>
  <c r="C6" i="38"/>
  <c r="L6" i="38" s="1"/>
  <c r="N5" i="38"/>
  <c r="M5" i="38"/>
  <c r="J5" i="38"/>
  <c r="K6" i="38" s="1"/>
  <c r="G5" i="38"/>
  <c r="H6" i="38" s="1"/>
  <c r="I6" i="38" s="1"/>
  <c r="F5" i="38"/>
  <c r="E5" i="38"/>
  <c r="C5" i="38"/>
  <c r="N4" i="38"/>
  <c r="M4" i="38"/>
  <c r="J4" i="38"/>
  <c r="K5" i="38" s="1"/>
  <c r="G4" i="38"/>
  <c r="H5" i="38" s="1"/>
  <c r="I5" i="38" s="1"/>
  <c r="F4" i="38"/>
  <c r="E4" i="38"/>
  <c r="C4" i="38"/>
  <c r="L4" i="38" s="1"/>
  <c r="N3" i="38"/>
  <c r="M3" i="38"/>
  <c r="J3" i="38"/>
  <c r="K4" i="38" s="1"/>
  <c r="I3" i="38"/>
  <c r="I24" i="38" s="1"/>
  <c r="B28" i="38" s="1"/>
  <c r="B29" i="38" s="1"/>
  <c r="H3" i="38"/>
  <c r="G3" i="38"/>
  <c r="H4" i="38" s="1"/>
  <c r="I4" i="38" s="1"/>
  <c r="F3" i="38"/>
  <c r="F24" i="38" s="1"/>
  <c r="B27" i="38" s="1"/>
  <c r="E3" i="38"/>
  <c r="C3" i="38"/>
  <c r="N23" i="37"/>
  <c r="O23" i="37" s="1"/>
  <c r="M23" i="37"/>
  <c r="J23" i="37"/>
  <c r="G23" i="37"/>
  <c r="F23" i="37"/>
  <c r="E23" i="37"/>
  <c r="C23" i="37"/>
  <c r="N22" i="37"/>
  <c r="O22" i="37" s="1"/>
  <c r="M22" i="37"/>
  <c r="J22" i="37"/>
  <c r="K23" i="37" s="1"/>
  <c r="G22" i="37"/>
  <c r="H23" i="37" s="1"/>
  <c r="F22" i="37"/>
  <c r="E22" i="37"/>
  <c r="C22" i="37"/>
  <c r="N21" i="37"/>
  <c r="O21" i="37" s="1"/>
  <c r="M21" i="37"/>
  <c r="J21" i="37"/>
  <c r="G21" i="37"/>
  <c r="H22" i="37" s="1"/>
  <c r="F21" i="37"/>
  <c r="E21" i="37"/>
  <c r="C21" i="37"/>
  <c r="N20" i="37"/>
  <c r="O20" i="37" s="1"/>
  <c r="M20" i="37"/>
  <c r="J20" i="37"/>
  <c r="G20" i="37"/>
  <c r="H21" i="37" s="1"/>
  <c r="F20" i="37"/>
  <c r="E20" i="37"/>
  <c r="C20" i="37"/>
  <c r="N19" i="37"/>
  <c r="O19" i="37" s="1"/>
  <c r="M19" i="37"/>
  <c r="J19" i="37"/>
  <c r="G19" i="37"/>
  <c r="H20" i="37" s="1"/>
  <c r="F19" i="37"/>
  <c r="E19" i="37"/>
  <c r="C19" i="37"/>
  <c r="N18" i="37"/>
  <c r="O18" i="37" s="1"/>
  <c r="M18" i="37"/>
  <c r="J18" i="37"/>
  <c r="K19" i="37" s="1"/>
  <c r="G18" i="37"/>
  <c r="H19" i="37" s="1"/>
  <c r="F18" i="37"/>
  <c r="E18" i="37"/>
  <c r="C18" i="37"/>
  <c r="N17" i="37"/>
  <c r="O17" i="37" s="1"/>
  <c r="M17" i="37"/>
  <c r="J17" i="37"/>
  <c r="K18" i="37" s="1"/>
  <c r="G17" i="37"/>
  <c r="H18" i="37" s="1"/>
  <c r="F17" i="37"/>
  <c r="E17" i="37"/>
  <c r="C17" i="37"/>
  <c r="O16" i="37"/>
  <c r="N16" i="37"/>
  <c r="M16" i="37"/>
  <c r="J16" i="37"/>
  <c r="K17" i="37" s="1"/>
  <c r="G16" i="37"/>
  <c r="F16" i="37"/>
  <c r="E16" i="37"/>
  <c r="C16" i="37"/>
  <c r="I16" i="37" s="1"/>
  <c r="N15" i="37"/>
  <c r="O15" i="37" s="1"/>
  <c r="M15" i="37"/>
  <c r="K15" i="37"/>
  <c r="J15" i="37"/>
  <c r="G15" i="37"/>
  <c r="H16" i="37" s="1"/>
  <c r="F15" i="37"/>
  <c r="E15" i="37"/>
  <c r="C15" i="37"/>
  <c r="N14" i="37"/>
  <c r="O14" i="37" s="1"/>
  <c r="M14" i="37"/>
  <c r="J14" i="37"/>
  <c r="G14" i="37"/>
  <c r="H15" i="37" s="1"/>
  <c r="F14" i="37"/>
  <c r="E14" i="37"/>
  <c r="C14" i="37"/>
  <c r="N13" i="37"/>
  <c r="O13" i="37" s="1"/>
  <c r="M13" i="37"/>
  <c r="J13" i="37"/>
  <c r="K14" i="37" s="1"/>
  <c r="G13" i="37"/>
  <c r="H14" i="37" s="1"/>
  <c r="F13" i="37"/>
  <c r="E13" i="37"/>
  <c r="C13" i="37"/>
  <c r="O12" i="37"/>
  <c r="N12" i="37"/>
  <c r="M12" i="37"/>
  <c r="J12" i="37"/>
  <c r="K13" i="37" s="1"/>
  <c r="G12" i="37"/>
  <c r="F12" i="37"/>
  <c r="E12" i="37"/>
  <c r="C12" i="37"/>
  <c r="I12" i="37" s="1"/>
  <c r="N11" i="37"/>
  <c r="O11" i="37" s="1"/>
  <c r="M11" i="37"/>
  <c r="K11" i="37"/>
  <c r="J11" i="37"/>
  <c r="G11" i="37"/>
  <c r="H12" i="37" s="1"/>
  <c r="F11" i="37"/>
  <c r="E11" i="37"/>
  <c r="C11" i="37"/>
  <c r="N10" i="37"/>
  <c r="O10" i="37" s="1"/>
  <c r="M10" i="37"/>
  <c r="J10" i="37"/>
  <c r="G10" i="37"/>
  <c r="H11" i="37" s="1"/>
  <c r="F10" i="37"/>
  <c r="E10" i="37"/>
  <c r="C10" i="37"/>
  <c r="N9" i="37"/>
  <c r="O9" i="37" s="1"/>
  <c r="M9" i="37"/>
  <c r="J9" i="37"/>
  <c r="K10" i="37" s="1"/>
  <c r="G9" i="37"/>
  <c r="H10" i="37" s="1"/>
  <c r="F9" i="37"/>
  <c r="E9" i="37"/>
  <c r="C9" i="37"/>
  <c r="O8" i="37"/>
  <c r="N8" i="37"/>
  <c r="M8" i="37"/>
  <c r="J8" i="37"/>
  <c r="K9" i="37" s="1"/>
  <c r="G8" i="37"/>
  <c r="F8" i="37"/>
  <c r="E8" i="37"/>
  <c r="C8" i="37"/>
  <c r="I8" i="37" s="1"/>
  <c r="N7" i="37"/>
  <c r="O7" i="37" s="1"/>
  <c r="M7" i="37"/>
  <c r="K7" i="37"/>
  <c r="J7" i="37"/>
  <c r="G7" i="37"/>
  <c r="H8" i="37" s="1"/>
  <c r="F7" i="37"/>
  <c r="E7" i="37"/>
  <c r="C7" i="37"/>
  <c r="N6" i="37"/>
  <c r="O6" i="37" s="1"/>
  <c r="M6" i="37"/>
  <c r="J6" i="37"/>
  <c r="G6" i="37"/>
  <c r="H7" i="37" s="1"/>
  <c r="F6" i="37"/>
  <c r="E6" i="37"/>
  <c r="C6" i="37"/>
  <c r="N5" i="37"/>
  <c r="O5" i="37" s="1"/>
  <c r="M5" i="37"/>
  <c r="J5" i="37"/>
  <c r="K6" i="37" s="1"/>
  <c r="G5" i="37"/>
  <c r="H6" i="37" s="1"/>
  <c r="F5" i="37"/>
  <c r="E5" i="37"/>
  <c r="C5" i="37"/>
  <c r="O4" i="37"/>
  <c r="N4" i="37"/>
  <c r="M4" i="37"/>
  <c r="J4" i="37"/>
  <c r="K5" i="37" s="1"/>
  <c r="G4" i="37"/>
  <c r="F4" i="37"/>
  <c r="E4" i="37"/>
  <c r="C4" i="37"/>
  <c r="N3" i="37"/>
  <c r="O3" i="37" s="1"/>
  <c r="O24" i="37" s="1"/>
  <c r="B31" i="37" s="1"/>
  <c r="M3" i="37"/>
  <c r="K3" i="37"/>
  <c r="J3" i="37"/>
  <c r="G3" i="37"/>
  <c r="F3" i="37"/>
  <c r="E3" i="37"/>
  <c r="C3" i="37"/>
  <c r="N23" i="36"/>
  <c r="O23" i="36" s="1"/>
  <c r="M23" i="36"/>
  <c r="J23" i="36"/>
  <c r="G23" i="36"/>
  <c r="F23" i="36"/>
  <c r="E23" i="36"/>
  <c r="C23" i="36"/>
  <c r="L23" i="36" s="1"/>
  <c r="N22" i="36"/>
  <c r="O22" i="36" s="1"/>
  <c r="M22" i="36"/>
  <c r="J22" i="36"/>
  <c r="K23" i="36" s="1"/>
  <c r="G22" i="36"/>
  <c r="H23" i="36" s="1"/>
  <c r="I23" i="36" s="1"/>
  <c r="F22" i="36"/>
  <c r="E22" i="36"/>
  <c r="C22" i="36"/>
  <c r="L22" i="36" s="1"/>
  <c r="N21" i="36"/>
  <c r="O21" i="36" s="1"/>
  <c r="M21" i="36"/>
  <c r="J21" i="36"/>
  <c r="K22" i="36" s="1"/>
  <c r="G21" i="36"/>
  <c r="H22" i="36" s="1"/>
  <c r="I22" i="36" s="1"/>
  <c r="F21" i="36"/>
  <c r="E21" i="36"/>
  <c r="C21" i="36"/>
  <c r="L21" i="36" s="1"/>
  <c r="N20" i="36"/>
  <c r="O20" i="36" s="1"/>
  <c r="M20" i="36"/>
  <c r="J20" i="36"/>
  <c r="K21" i="36" s="1"/>
  <c r="G20" i="36"/>
  <c r="H21" i="36" s="1"/>
  <c r="I21" i="36" s="1"/>
  <c r="F20" i="36"/>
  <c r="E20" i="36"/>
  <c r="C20" i="36"/>
  <c r="L20" i="36" s="1"/>
  <c r="N19" i="36"/>
  <c r="O19" i="36" s="1"/>
  <c r="M19" i="36"/>
  <c r="J19" i="36"/>
  <c r="K20" i="36" s="1"/>
  <c r="G19" i="36"/>
  <c r="H20" i="36" s="1"/>
  <c r="I20" i="36" s="1"/>
  <c r="F19" i="36"/>
  <c r="E19" i="36"/>
  <c r="C19" i="36"/>
  <c r="L19" i="36" s="1"/>
  <c r="N18" i="36"/>
  <c r="O18" i="36" s="1"/>
  <c r="M18" i="36"/>
  <c r="J18" i="36"/>
  <c r="K19" i="36" s="1"/>
  <c r="G18" i="36"/>
  <c r="H19" i="36" s="1"/>
  <c r="I19" i="36" s="1"/>
  <c r="F18" i="36"/>
  <c r="E18" i="36"/>
  <c r="C18" i="36"/>
  <c r="N17" i="36"/>
  <c r="O17" i="36" s="1"/>
  <c r="M17" i="36"/>
  <c r="J17" i="36"/>
  <c r="K18" i="36" s="1"/>
  <c r="G17" i="36"/>
  <c r="H18" i="36" s="1"/>
  <c r="F17" i="36"/>
  <c r="E17" i="36"/>
  <c r="C17" i="36"/>
  <c r="N16" i="36"/>
  <c r="O16" i="36" s="1"/>
  <c r="M16" i="36"/>
  <c r="J16" i="36"/>
  <c r="K17" i="36" s="1"/>
  <c r="G16" i="36"/>
  <c r="H17" i="36" s="1"/>
  <c r="F16" i="36"/>
  <c r="E16" i="36"/>
  <c r="C16" i="36"/>
  <c r="N15" i="36"/>
  <c r="O15" i="36" s="1"/>
  <c r="M15" i="36"/>
  <c r="J15" i="36"/>
  <c r="K16" i="36" s="1"/>
  <c r="G15" i="36"/>
  <c r="H16" i="36" s="1"/>
  <c r="F15" i="36"/>
  <c r="E15" i="36"/>
  <c r="C15" i="36"/>
  <c r="N14" i="36"/>
  <c r="O14" i="36" s="1"/>
  <c r="M14" i="36"/>
  <c r="J14" i="36"/>
  <c r="K15" i="36" s="1"/>
  <c r="G14" i="36"/>
  <c r="H15" i="36" s="1"/>
  <c r="F14" i="36"/>
  <c r="E14" i="36"/>
  <c r="C14" i="36"/>
  <c r="N13" i="36"/>
  <c r="O13" i="36" s="1"/>
  <c r="M13" i="36"/>
  <c r="J13" i="36"/>
  <c r="K14" i="36" s="1"/>
  <c r="G13" i="36"/>
  <c r="H14" i="36" s="1"/>
  <c r="F13" i="36"/>
  <c r="E13" i="36"/>
  <c r="C13" i="36"/>
  <c r="N12" i="36"/>
  <c r="O12" i="36" s="1"/>
  <c r="M12" i="36"/>
  <c r="J12" i="36"/>
  <c r="K13" i="36" s="1"/>
  <c r="G12" i="36"/>
  <c r="H13" i="36" s="1"/>
  <c r="F12" i="36"/>
  <c r="E12" i="36"/>
  <c r="C12" i="36"/>
  <c r="N11" i="36"/>
  <c r="O11" i="36" s="1"/>
  <c r="M11" i="36"/>
  <c r="J11" i="36"/>
  <c r="K12" i="36" s="1"/>
  <c r="G11" i="36"/>
  <c r="H12" i="36" s="1"/>
  <c r="F11" i="36"/>
  <c r="E11" i="36"/>
  <c r="C11" i="36"/>
  <c r="N10" i="36"/>
  <c r="O10" i="36" s="1"/>
  <c r="M10" i="36"/>
  <c r="J10" i="36"/>
  <c r="K11" i="36" s="1"/>
  <c r="G10" i="36"/>
  <c r="H11" i="36" s="1"/>
  <c r="F10" i="36"/>
  <c r="E10" i="36"/>
  <c r="C10" i="36"/>
  <c r="N9" i="36"/>
  <c r="O9" i="36" s="1"/>
  <c r="M9" i="36"/>
  <c r="J9" i="36"/>
  <c r="K10" i="36" s="1"/>
  <c r="G9" i="36"/>
  <c r="H10" i="36" s="1"/>
  <c r="F9" i="36"/>
  <c r="E9" i="36"/>
  <c r="C9" i="36"/>
  <c r="N8" i="36"/>
  <c r="O8" i="36" s="1"/>
  <c r="M8" i="36"/>
  <c r="J8" i="36"/>
  <c r="K9" i="36" s="1"/>
  <c r="G8" i="36"/>
  <c r="H9" i="36" s="1"/>
  <c r="F8" i="36"/>
  <c r="E8" i="36"/>
  <c r="C8" i="36"/>
  <c r="N7" i="36"/>
  <c r="O7" i="36" s="1"/>
  <c r="M7" i="36"/>
  <c r="J7" i="36"/>
  <c r="K8" i="36" s="1"/>
  <c r="G7" i="36"/>
  <c r="H8" i="36" s="1"/>
  <c r="F7" i="36"/>
  <c r="E7" i="36"/>
  <c r="C7" i="36"/>
  <c r="N6" i="36"/>
  <c r="O6" i="36" s="1"/>
  <c r="M6" i="36"/>
  <c r="J6" i="36"/>
  <c r="K7" i="36" s="1"/>
  <c r="G6" i="36"/>
  <c r="H7" i="36" s="1"/>
  <c r="F6" i="36"/>
  <c r="E6" i="36"/>
  <c r="C6" i="36"/>
  <c r="N5" i="36"/>
  <c r="O5" i="36" s="1"/>
  <c r="M5" i="36"/>
  <c r="J5" i="36"/>
  <c r="K6" i="36" s="1"/>
  <c r="G5" i="36"/>
  <c r="H6" i="36" s="1"/>
  <c r="F5" i="36"/>
  <c r="E5" i="36"/>
  <c r="C5" i="36"/>
  <c r="N4" i="36"/>
  <c r="O4" i="36" s="1"/>
  <c r="M4" i="36"/>
  <c r="J4" i="36"/>
  <c r="K5" i="36" s="1"/>
  <c r="G4" i="36"/>
  <c r="H5" i="36" s="1"/>
  <c r="F4" i="36"/>
  <c r="E4" i="36"/>
  <c r="C4" i="36"/>
  <c r="N3" i="36"/>
  <c r="O3" i="36" s="1"/>
  <c r="O24" i="36" s="1"/>
  <c r="B31" i="36" s="1"/>
  <c r="M3" i="36"/>
  <c r="J3" i="36"/>
  <c r="K4" i="36" s="1"/>
  <c r="G3" i="36"/>
  <c r="H4" i="36" s="1"/>
  <c r="F3" i="36"/>
  <c r="F24" i="36" s="1"/>
  <c r="B27" i="36" s="1"/>
  <c r="E3" i="36"/>
  <c r="C3" i="36"/>
  <c r="N23" i="35"/>
  <c r="O23" i="35" s="1"/>
  <c r="M23" i="35"/>
  <c r="J23" i="35"/>
  <c r="G23" i="35"/>
  <c r="F23" i="35"/>
  <c r="E23" i="35"/>
  <c r="C23" i="35"/>
  <c r="L23" i="35" s="1"/>
  <c r="N22" i="35"/>
  <c r="O22" i="35" s="1"/>
  <c r="M22" i="35"/>
  <c r="J22" i="35"/>
  <c r="K23" i="35" s="1"/>
  <c r="G22" i="35"/>
  <c r="H23" i="35" s="1"/>
  <c r="I23" i="35" s="1"/>
  <c r="F22" i="35"/>
  <c r="E22" i="35"/>
  <c r="C22" i="35"/>
  <c r="L22" i="35" s="1"/>
  <c r="N21" i="35"/>
  <c r="O21" i="35" s="1"/>
  <c r="M21" i="35"/>
  <c r="J21" i="35"/>
  <c r="K22" i="35" s="1"/>
  <c r="G21" i="35"/>
  <c r="H22" i="35" s="1"/>
  <c r="I22" i="35" s="1"/>
  <c r="F21" i="35"/>
  <c r="E21" i="35"/>
  <c r="C21" i="35"/>
  <c r="N20" i="35"/>
  <c r="O20" i="35" s="1"/>
  <c r="M20" i="35"/>
  <c r="J20" i="35"/>
  <c r="K21" i="35" s="1"/>
  <c r="G20" i="35"/>
  <c r="H21" i="35" s="1"/>
  <c r="I21" i="35" s="1"/>
  <c r="F20" i="35"/>
  <c r="E20" i="35"/>
  <c r="C20" i="35"/>
  <c r="L20" i="35" s="1"/>
  <c r="N19" i="35"/>
  <c r="O19" i="35" s="1"/>
  <c r="M19" i="35"/>
  <c r="J19" i="35"/>
  <c r="K20" i="35" s="1"/>
  <c r="G19" i="35"/>
  <c r="H20" i="35" s="1"/>
  <c r="I20" i="35" s="1"/>
  <c r="F19" i="35"/>
  <c r="E19" i="35"/>
  <c r="C19" i="35"/>
  <c r="L19" i="35" s="1"/>
  <c r="N18" i="35"/>
  <c r="O18" i="35" s="1"/>
  <c r="M18" i="35"/>
  <c r="J18" i="35"/>
  <c r="K19" i="35" s="1"/>
  <c r="G18" i="35"/>
  <c r="H19" i="35" s="1"/>
  <c r="I19" i="35" s="1"/>
  <c r="F18" i="35"/>
  <c r="E18" i="35"/>
  <c r="C18" i="35"/>
  <c r="L18" i="35" s="1"/>
  <c r="N17" i="35"/>
  <c r="O17" i="35" s="1"/>
  <c r="M17" i="35"/>
  <c r="J17" i="35"/>
  <c r="K18" i="35" s="1"/>
  <c r="G17" i="35"/>
  <c r="H18" i="35" s="1"/>
  <c r="I18" i="35" s="1"/>
  <c r="F17" i="35"/>
  <c r="E17" i="35"/>
  <c r="C17" i="35"/>
  <c r="N16" i="35"/>
  <c r="O16" i="35" s="1"/>
  <c r="M16" i="35"/>
  <c r="J16" i="35"/>
  <c r="K17" i="35" s="1"/>
  <c r="G16" i="35"/>
  <c r="H17" i="35" s="1"/>
  <c r="F16" i="35"/>
  <c r="E16" i="35"/>
  <c r="C16" i="35"/>
  <c r="N15" i="35"/>
  <c r="O15" i="35" s="1"/>
  <c r="M15" i="35"/>
  <c r="J15" i="35"/>
  <c r="K16" i="35" s="1"/>
  <c r="G15" i="35"/>
  <c r="H16" i="35" s="1"/>
  <c r="F15" i="35"/>
  <c r="E15" i="35"/>
  <c r="C15" i="35"/>
  <c r="N14" i="35"/>
  <c r="O14" i="35" s="1"/>
  <c r="M14" i="35"/>
  <c r="J14" i="35"/>
  <c r="K15" i="35" s="1"/>
  <c r="G14" i="35"/>
  <c r="H15" i="35" s="1"/>
  <c r="F14" i="35"/>
  <c r="E14" i="35"/>
  <c r="C14" i="35"/>
  <c r="N13" i="35"/>
  <c r="O13" i="35" s="1"/>
  <c r="M13" i="35"/>
  <c r="J13" i="35"/>
  <c r="K14" i="35" s="1"/>
  <c r="G13" i="35"/>
  <c r="H14" i="35" s="1"/>
  <c r="F13" i="35"/>
  <c r="E13" i="35"/>
  <c r="C13" i="35"/>
  <c r="N12" i="35"/>
  <c r="O12" i="35" s="1"/>
  <c r="M12" i="35"/>
  <c r="J12" i="35"/>
  <c r="K13" i="35" s="1"/>
  <c r="G12" i="35"/>
  <c r="H13" i="35" s="1"/>
  <c r="F12" i="35"/>
  <c r="E12" i="35"/>
  <c r="C12" i="35"/>
  <c r="N11" i="35"/>
  <c r="O11" i="35" s="1"/>
  <c r="M11" i="35"/>
  <c r="J11" i="35"/>
  <c r="K12" i="35" s="1"/>
  <c r="G11" i="35"/>
  <c r="H12" i="35" s="1"/>
  <c r="F11" i="35"/>
  <c r="E11" i="35"/>
  <c r="C11" i="35"/>
  <c r="N10" i="35"/>
  <c r="O10" i="35" s="1"/>
  <c r="M10" i="35"/>
  <c r="J10" i="35"/>
  <c r="K11" i="35" s="1"/>
  <c r="G10" i="35"/>
  <c r="H11" i="35" s="1"/>
  <c r="F10" i="35"/>
  <c r="E10" i="35"/>
  <c r="C10" i="35"/>
  <c r="N9" i="35"/>
  <c r="O9" i="35" s="1"/>
  <c r="M9" i="35"/>
  <c r="J9" i="35"/>
  <c r="K10" i="35" s="1"/>
  <c r="G9" i="35"/>
  <c r="H10" i="35" s="1"/>
  <c r="F9" i="35"/>
  <c r="E9" i="35"/>
  <c r="C9" i="35"/>
  <c r="N8" i="35"/>
  <c r="O8" i="35" s="1"/>
  <c r="M8" i="35"/>
  <c r="J8" i="35"/>
  <c r="K9" i="35" s="1"/>
  <c r="G8" i="35"/>
  <c r="H9" i="35" s="1"/>
  <c r="F8" i="35"/>
  <c r="E8" i="35"/>
  <c r="C8" i="35"/>
  <c r="N7" i="35"/>
  <c r="O7" i="35" s="1"/>
  <c r="M7" i="35"/>
  <c r="J7" i="35"/>
  <c r="K8" i="35" s="1"/>
  <c r="G7" i="35"/>
  <c r="H8" i="35" s="1"/>
  <c r="F7" i="35"/>
  <c r="E7" i="35"/>
  <c r="C7" i="35"/>
  <c r="N6" i="35"/>
  <c r="O6" i="35" s="1"/>
  <c r="M6" i="35"/>
  <c r="J6" i="35"/>
  <c r="K7" i="35" s="1"/>
  <c r="G6" i="35"/>
  <c r="H7" i="35" s="1"/>
  <c r="F6" i="35"/>
  <c r="E6" i="35"/>
  <c r="C6" i="35"/>
  <c r="N5" i="35"/>
  <c r="O5" i="35" s="1"/>
  <c r="M5" i="35"/>
  <c r="J5" i="35"/>
  <c r="K6" i="35" s="1"/>
  <c r="G5" i="35"/>
  <c r="H6" i="35" s="1"/>
  <c r="F5" i="35"/>
  <c r="E5" i="35"/>
  <c r="C5" i="35"/>
  <c r="N4" i="35"/>
  <c r="O4" i="35" s="1"/>
  <c r="M4" i="35"/>
  <c r="J4" i="35"/>
  <c r="K5" i="35" s="1"/>
  <c r="G4" i="35"/>
  <c r="H5" i="35" s="1"/>
  <c r="F4" i="35"/>
  <c r="E4" i="35"/>
  <c r="C4" i="35"/>
  <c r="N3" i="35"/>
  <c r="O3" i="35" s="1"/>
  <c r="M3" i="35"/>
  <c r="J3" i="35"/>
  <c r="K4" i="35" s="1"/>
  <c r="G3" i="35"/>
  <c r="H4" i="35" s="1"/>
  <c r="F3" i="35"/>
  <c r="F24" i="35" s="1"/>
  <c r="B27" i="35" s="1"/>
  <c r="E3" i="35"/>
  <c r="C3" i="35"/>
  <c r="N23" i="34"/>
  <c r="M23" i="34"/>
  <c r="J23" i="34"/>
  <c r="G23" i="34"/>
  <c r="E23" i="34"/>
  <c r="C23" i="34"/>
  <c r="N22" i="34"/>
  <c r="M22" i="34"/>
  <c r="J22" i="34"/>
  <c r="K23" i="34" s="1"/>
  <c r="H22" i="34"/>
  <c r="G22" i="34"/>
  <c r="H23" i="34" s="1"/>
  <c r="F22" i="34"/>
  <c r="E22" i="34"/>
  <c r="C22" i="34"/>
  <c r="I22" i="34" s="1"/>
  <c r="N21" i="34"/>
  <c r="M21" i="34"/>
  <c r="J21" i="34"/>
  <c r="K22" i="34" s="1"/>
  <c r="H21" i="34"/>
  <c r="G21" i="34"/>
  <c r="F21" i="34"/>
  <c r="E21" i="34"/>
  <c r="C21" i="34"/>
  <c r="I21" i="34" s="1"/>
  <c r="N20" i="34"/>
  <c r="M20" i="34"/>
  <c r="J20" i="34"/>
  <c r="K21" i="34" s="1"/>
  <c r="H20" i="34"/>
  <c r="G20" i="34"/>
  <c r="F20" i="34"/>
  <c r="E20" i="34"/>
  <c r="C20" i="34"/>
  <c r="I20" i="34" s="1"/>
  <c r="N19" i="34"/>
  <c r="M19" i="34"/>
  <c r="J19" i="34"/>
  <c r="K20" i="34" s="1"/>
  <c r="H19" i="34"/>
  <c r="G19" i="34"/>
  <c r="F19" i="34"/>
  <c r="E19" i="34"/>
  <c r="C19" i="34"/>
  <c r="I19" i="34" s="1"/>
  <c r="N18" i="34"/>
  <c r="M18" i="34"/>
  <c r="J18" i="34"/>
  <c r="K19" i="34" s="1"/>
  <c r="H18" i="34"/>
  <c r="G18" i="34"/>
  <c r="F18" i="34"/>
  <c r="E18" i="34"/>
  <c r="C18" i="34"/>
  <c r="I18" i="34" s="1"/>
  <c r="N17" i="34"/>
  <c r="M17" i="34"/>
  <c r="J17" i="34"/>
  <c r="K18" i="34" s="1"/>
  <c r="H17" i="34"/>
  <c r="G17" i="34"/>
  <c r="F17" i="34"/>
  <c r="E17" i="34"/>
  <c r="C17" i="34"/>
  <c r="I17" i="34" s="1"/>
  <c r="N16" i="34"/>
  <c r="M16" i="34"/>
  <c r="J16" i="34"/>
  <c r="K17" i="34" s="1"/>
  <c r="H16" i="34"/>
  <c r="G16" i="34"/>
  <c r="F16" i="34"/>
  <c r="E16" i="34"/>
  <c r="C16" i="34"/>
  <c r="I16" i="34" s="1"/>
  <c r="N15" i="34"/>
  <c r="M15" i="34"/>
  <c r="J15" i="34"/>
  <c r="K16" i="34" s="1"/>
  <c r="H15" i="34"/>
  <c r="G15" i="34"/>
  <c r="F15" i="34"/>
  <c r="E15" i="34"/>
  <c r="C15" i="34"/>
  <c r="I15" i="34" s="1"/>
  <c r="N14" i="34"/>
  <c r="M14" i="34"/>
  <c r="J14" i="34"/>
  <c r="K15" i="34" s="1"/>
  <c r="H14" i="34"/>
  <c r="G14" i="34"/>
  <c r="F14" i="34"/>
  <c r="E14" i="34"/>
  <c r="C14" i="34"/>
  <c r="I14" i="34" s="1"/>
  <c r="N13" i="34"/>
  <c r="M13" i="34"/>
  <c r="J13" i="34"/>
  <c r="K14" i="34" s="1"/>
  <c r="H13" i="34"/>
  <c r="G13" i="34"/>
  <c r="F13" i="34"/>
  <c r="E13" i="34"/>
  <c r="C13" i="34"/>
  <c r="I13" i="34" s="1"/>
  <c r="N12" i="34"/>
  <c r="M12" i="34"/>
  <c r="J12" i="34"/>
  <c r="K13" i="34" s="1"/>
  <c r="H12" i="34"/>
  <c r="G12" i="34"/>
  <c r="F12" i="34"/>
  <c r="E12" i="34"/>
  <c r="C12" i="34"/>
  <c r="I12" i="34" s="1"/>
  <c r="N11" i="34"/>
  <c r="M11" i="34"/>
  <c r="J11" i="34"/>
  <c r="K12" i="34" s="1"/>
  <c r="H11" i="34"/>
  <c r="G11" i="34"/>
  <c r="F11" i="34"/>
  <c r="E11" i="34"/>
  <c r="C11" i="34"/>
  <c r="I11" i="34" s="1"/>
  <c r="N10" i="34"/>
  <c r="M10" i="34"/>
  <c r="J10" i="34"/>
  <c r="K11" i="34" s="1"/>
  <c r="H10" i="34"/>
  <c r="G10" i="34"/>
  <c r="F10" i="34"/>
  <c r="E10" i="34"/>
  <c r="C10" i="34"/>
  <c r="I10" i="34" s="1"/>
  <c r="N9" i="34"/>
  <c r="M9" i="34"/>
  <c r="J9" i="34"/>
  <c r="K10" i="34" s="1"/>
  <c r="H9" i="34"/>
  <c r="G9" i="34"/>
  <c r="F9" i="34"/>
  <c r="E9" i="34"/>
  <c r="C9" i="34"/>
  <c r="I9" i="34" s="1"/>
  <c r="N8" i="34"/>
  <c r="M8" i="34"/>
  <c r="J8" i="34"/>
  <c r="K9" i="34" s="1"/>
  <c r="H8" i="34"/>
  <c r="G8" i="34"/>
  <c r="F8" i="34"/>
  <c r="E8" i="34"/>
  <c r="C8" i="34"/>
  <c r="I8" i="34" s="1"/>
  <c r="N7" i="34"/>
  <c r="M7" i="34"/>
  <c r="J7" i="34"/>
  <c r="K8" i="34" s="1"/>
  <c r="H7" i="34"/>
  <c r="G7" i="34"/>
  <c r="F7" i="34"/>
  <c r="E7" i="34"/>
  <c r="C7" i="34"/>
  <c r="I7" i="34" s="1"/>
  <c r="N6" i="34"/>
  <c r="M6" i="34"/>
  <c r="J6" i="34"/>
  <c r="K7" i="34" s="1"/>
  <c r="H6" i="34"/>
  <c r="G6" i="34"/>
  <c r="F6" i="34"/>
  <c r="E6" i="34"/>
  <c r="C6" i="34"/>
  <c r="I6" i="34" s="1"/>
  <c r="N5" i="34"/>
  <c r="M5" i="34"/>
  <c r="J5" i="34"/>
  <c r="K6" i="34" s="1"/>
  <c r="H5" i="34"/>
  <c r="G5" i="34"/>
  <c r="F5" i="34"/>
  <c r="E5" i="34"/>
  <c r="C5" i="34"/>
  <c r="I5" i="34" s="1"/>
  <c r="N4" i="34"/>
  <c r="M4" i="34"/>
  <c r="J4" i="34"/>
  <c r="K5" i="34" s="1"/>
  <c r="H4" i="34"/>
  <c r="G4" i="34"/>
  <c r="F4" i="34"/>
  <c r="E4" i="34"/>
  <c r="C4" i="34"/>
  <c r="I4" i="34" s="1"/>
  <c r="N3" i="34"/>
  <c r="M3" i="34"/>
  <c r="J3" i="34"/>
  <c r="K4" i="34" s="1"/>
  <c r="H3" i="34"/>
  <c r="G3" i="34"/>
  <c r="E3" i="34"/>
  <c r="C3" i="34"/>
  <c r="I3" i="34" s="1"/>
  <c r="N23" i="33"/>
  <c r="M23" i="33"/>
  <c r="J23" i="33"/>
  <c r="G23" i="33"/>
  <c r="F23" i="33"/>
  <c r="E23" i="33"/>
  <c r="C23" i="33"/>
  <c r="L23" i="33" s="1"/>
  <c r="N22" i="33"/>
  <c r="O22" i="33" s="1"/>
  <c r="M22" i="33"/>
  <c r="J22" i="33"/>
  <c r="K23" i="33" s="1"/>
  <c r="G22" i="33"/>
  <c r="H23" i="33" s="1"/>
  <c r="I23" i="33" s="1"/>
  <c r="F22" i="33"/>
  <c r="E22" i="33"/>
  <c r="C22" i="33"/>
  <c r="L22" i="33" s="1"/>
  <c r="N21" i="33"/>
  <c r="O21" i="33" s="1"/>
  <c r="M21" i="33"/>
  <c r="J21" i="33"/>
  <c r="K22" i="33" s="1"/>
  <c r="G21" i="33"/>
  <c r="H22" i="33" s="1"/>
  <c r="I22" i="33" s="1"/>
  <c r="F21" i="33"/>
  <c r="E21" i="33"/>
  <c r="C21" i="33"/>
  <c r="N20" i="33"/>
  <c r="O20" i="33" s="1"/>
  <c r="M20" i="33"/>
  <c r="J20" i="33"/>
  <c r="K21" i="33" s="1"/>
  <c r="G20" i="33"/>
  <c r="H21" i="33" s="1"/>
  <c r="I21" i="33" s="1"/>
  <c r="F20" i="33"/>
  <c r="E20" i="33"/>
  <c r="C20" i="33"/>
  <c r="L20" i="33" s="1"/>
  <c r="N19" i="33"/>
  <c r="M19" i="33"/>
  <c r="J19" i="33"/>
  <c r="K20" i="33" s="1"/>
  <c r="G19" i="33"/>
  <c r="H20" i="33" s="1"/>
  <c r="I20" i="33" s="1"/>
  <c r="F19" i="33"/>
  <c r="E19" i="33"/>
  <c r="C19" i="33"/>
  <c r="N18" i="33"/>
  <c r="M18" i="33"/>
  <c r="J18" i="33"/>
  <c r="K19" i="33" s="1"/>
  <c r="G18" i="33"/>
  <c r="H19" i="33" s="1"/>
  <c r="F18" i="33"/>
  <c r="E18" i="33"/>
  <c r="C18" i="33"/>
  <c r="N17" i="33"/>
  <c r="M17" i="33"/>
  <c r="J17" i="33"/>
  <c r="K18" i="33" s="1"/>
  <c r="G17" i="33"/>
  <c r="H18" i="33" s="1"/>
  <c r="F17" i="33"/>
  <c r="E17" i="33"/>
  <c r="C17" i="33"/>
  <c r="N16" i="33"/>
  <c r="M16" i="33"/>
  <c r="J16" i="33"/>
  <c r="K17" i="33" s="1"/>
  <c r="G16" i="33"/>
  <c r="H17" i="33" s="1"/>
  <c r="F16" i="33"/>
  <c r="E16" i="33"/>
  <c r="C16" i="33"/>
  <c r="N15" i="33"/>
  <c r="M15" i="33"/>
  <c r="J15" i="33"/>
  <c r="K16" i="33" s="1"/>
  <c r="G15" i="33"/>
  <c r="H16" i="33" s="1"/>
  <c r="F15" i="33"/>
  <c r="E15" i="33"/>
  <c r="C15" i="33"/>
  <c r="N14" i="33"/>
  <c r="M14" i="33"/>
  <c r="J14" i="33"/>
  <c r="K15" i="33" s="1"/>
  <c r="G14" i="33"/>
  <c r="H15" i="33" s="1"/>
  <c r="F14" i="33"/>
  <c r="E14" i="33"/>
  <c r="C14" i="33"/>
  <c r="N13" i="33"/>
  <c r="M13" i="33"/>
  <c r="J13" i="33"/>
  <c r="K14" i="33" s="1"/>
  <c r="G13" i="33"/>
  <c r="H14" i="33" s="1"/>
  <c r="F13" i="33"/>
  <c r="E13" i="33"/>
  <c r="C13" i="33"/>
  <c r="N12" i="33"/>
  <c r="M12" i="33"/>
  <c r="J12" i="33"/>
  <c r="K13" i="33" s="1"/>
  <c r="G12" i="33"/>
  <c r="H13" i="33" s="1"/>
  <c r="F12" i="33"/>
  <c r="E12" i="33"/>
  <c r="C12" i="33"/>
  <c r="N11" i="33"/>
  <c r="M11" i="33"/>
  <c r="J11" i="33"/>
  <c r="K12" i="33" s="1"/>
  <c r="G11" i="33"/>
  <c r="H12" i="33" s="1"/>
  <c r="F11" i="33"/>
  <c r="E11" i="33"/>
  <c r="C11" i="33"/>
  <c r="N10" i="33"/>
  <c r="M10" i="33"/>
  <c r="J10" i="33"/>
  <c r="K11" i="33" s="1"/>
  <c r="G10" i="33"/>
  <c r="H11" i="33" s="1"/>
  <c r="F10" i="33"/>
  <c r="E10" i="33"/>
  <c r="C10" i="33"/>
  <c r="N9" i="33"/>
  <c r="M9" i="33"/>
  <c r="J9" i="33"/>
  <c r="K10" i="33" s="1"/>
  <c r="G9" i="33"/>
  <c r="H10" i="33" s="1"/>
  <c r="F9" i="33"/>
  <c r="E9" i="33"/>
  <c r="C9" i="33"/>
  <c r="N8" i="33"/>
  <c r="M8" i="33"/>
  <c r="J8" i="33"/>
  <c r="K9" i="33" s="1"/>
  <c r="G8" i="33"/>
  <c r="H9" i="33" s="1"/>
  <c r="F8" i="33"/>
  <c r="E8" i="33"/>
  <c r="C8" i="33"/>
  <c r="N7" i="33"/>
  <c r="M7" i="33"/>
  <c r="J7" i="33"/>
  <c r="K8" i="33" s="1"/>
  <c r="G7" i="33"/>
  <c r="H8" i="33" s="1"/>
  <c r="F7" i="33"/>
  <c r="E7" i="33"/>
  <c r="C7" i="33"/>
  <c r="N6" i="33"/>
  <c r="M6" i="33"/>
  <c r="J6" i="33"/>
  <c r="K7" i="33" s="1"/>
  <c r="G6" i="33"/>
  <c r="H7" i="33" s="1"/>
  <c r="F6" i="33"/>
  <c r="E6" i="33"/>
  <c r="C6" i="33"/>
  <c r="N5" i="33"/>
  <c r="M5" i="33"/>
  <c r="J5" i="33"/>
  <c r="K6" i="33" s="1"/>
  <c r="G5" i="33"/>
  <c r="H6" i="33" s="1"/>
  <c r="F5" i="33"/>
  <c r="E5" i="33"/>
  <c r="C5" i="33"/>
  <c r="N4" i="33"/>
  <c r="M4" i="33"/>
  <c r="J4" i="33"/>
  <c r="K5" i="33" s="1"/>
  <c r="H4" i="33"/>
  <c r="G4" i="33"/>
  <c r="H5" i="33" s="1"/>
  <c r="F4" i="33"/>
  <c r="E4" i="33"/>
  <c r="C4" i="33"/>
  <c r="I4" i="33" s="1"/>
  <c r="M3" i="33"/>
  <c r="J3" i="33"/>
  <c r="K4" i="33" s="1"/>
  <c r="H3" i="33"/>
  <c r="G3" i="33"/>
  <c r="F3" i="33"/>
  <c r="F24" i="33" s="1"/>
  <c r="B27" i="33" s="1"/>
  <c r="E3" i="33"/>
  <c r="C3" i="33"/>
  <c r="I3" i="33" s="1"/>
  <c r="N23" i="32"/>
  <c r="O23" i="32" s="1"/>
  <c r="M23" i="32"/>
  <c r="J23" i="32"/>
  <c r="G23" i="32"/>
  <c r="F23" i="32"/>
  <c r="E23" i="32"/>
  <c r="C23" i="32"/>
  <c r="L23" i="32" s="1"/>
  <c r="N22" i="32"/>
  <c r="O22" i="32" s="1"/>
  <c r="M22" i="32"/>
  <c r="J22" i="32"/>
  <c r="K23" i="32" s="1"/>
  <c r="G22" i="32"/>
  <c r="H23" i="32" s="1"/>
  <c r="I23" i="32" s="1"/>
  <c r="F22" i="32"/>
  <c r="E22" i="32"/>
  <c r="C22" i="32"/>
  <c r="L22" i="32" s="1"/>
  <c r="N21" i="32"/>
  <c r="O21" i="32" s="1"/>
  <c r="M21" i="32"/>
  <c r="J21" i="32"/>
  <c r="K22" i="32" s="1"/>
  <c r="G21" i="32"/>
  <c r="H22" i="32" s="1"/>
  <c r="I22" i="32" s="1"/>
  <c r="F21" i="32"/>
  <c r="E21" i="32"/>
  <c r="C21" i="32"/>
  <c r="N20" i="32"/>
  <c r="O20" i="32" s="1"/>
  <c r="M20" i="32"/>
  <c r="J20" i="32"/>
  <c r="K21" i="32" s="1"/>
  <c r="G20" i="32"/>
  <c r="H21" i="32" s="1"/>
  <c r="I21" i="32" s="1"/>
  <c r="F20" i="32"/>
  <c r="E20" i="32"/>
  <c r="C20" i="32"/>
  <c r="L20" i="32" s="1"/>
  <c r="N19" i="32"/>
  <c r="O19" i="32" s="1"/>
  <c r="M19" i="32"/>
  <c r="J19" i="32"/>
  <c r="K20" i="32" s="1"/>
  <c r="G19" i="32"/>
  <c r="H20" i="32" s="1"/>
  <c r="I20" i="32" s="1"/>
  <c r="F19" i="32"/>
  <c r="E19" i="32"/>
  <c r="C19" i="32"/>
  <c r="N18" i="32"/>
  <c r="O18" i="32" s="1"/>
  <c r="M18" i="32"/>
  <c r="J18" i="32"/>
  <c r="K19" i="32" s="1"/>
  <c r="G18" i="32"/>
  <c r="H19" i="32" s="1"/>
  <c r="F18" i="32"/>
  <c r="E18" i="32"/>
  <c r="C18" i="32"/>
  <c r="N17" i="32"/>
  <c r="O17" i="32" s="1"/>
  <c r="M17" i="32"/>
  <c r="J17" i="32"/>
  <c r="K18" i="32" s="1"/>
  <c r="G17" i="32"/>
  <c r="H18" i="32" s="1"/>
  <c r="F17" i="32"/>
  <c r="E17" i="32"/>
  <c r="C17" i="32"/>
  <c r="N16" i="32"/>
  <c r="O16" i="32" s="1"/>
  <c r="M16" i="32"/>
  <c r="J16" i="32"/>
  <c r="K17" i="32" s="1"/>
  <c r="G16" i="32"/>
  <c r="H17" i="32" s="1"/>
  <c r="F16" i="32"/>
  <c r="E16" i="32"/>
  <c r="C16" i="32"/>
  <c r="N15" i="32"/>
  <c r="O15" i="32" s="1"/>
  <c r="M15" i="32"/>
  <c r="J15" i="32"/>
  <c r="K16" i="32" s="1"/>
  <c r="G15" i="32"/>
  <c r="H16" i="32" s="1"/>
  <c r="F15" i="32"/>
  <c r="E15" i="32"/>
  <c r="C15" i="32"/>
  <c r="N14" i="32"/>
  <c r="O14" i="32" s="1"/>
  <c r="M14" i="32"/>
  <c r="J14" i="32"/>
  <c r="K15" i="32" s="1"/>
  <c r="G14" i="32"/>
  <c r="H15" i="32" s="1"/>
  <c r="F14" i="32"/>
  <c r="E14" i="32"/>
  <c r="C14" i="32"/>
  <c r="N13" i="32"/>
  <c r="O13" i="32" s="1"/>
  <c r="M13" i="32"/>
  <c r="J13" i="32"/>
  <c r="K14" i="32" s="1"/>
  <c r="G13" i="32"/>
  <c r="H14" i="32" s="1"/>
  <c r="F13" i="32"/>
  <c r="E13" i="32"/>
  <c r="C13" i="32"/>
  <c r="N12" i="32"/>
  <c r="O12" i="32" s="1"/>
  <c r="M12" i="32"/>
  <c r="J12" i="32"/>
  <c r="K13" i="32" s="1"/>
  <c r="G12" i="32"/>
  <c r="H13" i="32" s="1"/>
  <c r="F12" i="32"/>
  <c r="E12" i="32"/>
  <c r="C12" i="32"/>
  <c r="N11" i="32"/>
  <c r="O11" i="32" s="1"/>
  <c r="M11" i="32"/>
  <c r="J11" i="32"/>
  <c r="K12" i="32" s="1"/>
  <c r="G11" i="32"/>
  <c r="H12" i="32" s="1"/>
  <c r="F11" i="32"/>
  <c r="E11" i="32"/>
  <c r="C11" i="32"/>
  <c r="N10" i="32"/>
  <c r="O10" i="32" s="1"/>
  <c r="M10" i="32"/>
  <c r="J10" i="32"/>
  <c r="K11" i="32" s="1"/>
  <c r="G10" i="32"/>
  <c r="H11" i="32" s="1"/>
  <c r="F10" i="32"/>
  <c r="E10" i="32"/>
  <c r="C10" i="32"/>
  <c r="N9" i="32"/>
  <c r="O9" i="32" s="1"/>
  <c r="M9" i="32"/>
  <c r="J9" i="32"/>
  <c r="K10" i="32" s="1"/>
  <c r="G9" i="32"/>
  <c r="H10" i="32" s="1"/>
  <c r="F9" i="32"/>
  <c r="E9" i="32"/>
  <c r="C9" i="32"/>
  <c r="N8" i="32"/>
  <c r="O8" i="32" s="1"/>
  <c r="M8" i="32"/>
  <c r="J8" i="32"/>
  <c r="K9" i="32" s="1"/>
  <c r="G8" i="32"/>
  <c r="H9" i="32" s="1"/>
  <c r="F8" i="32"/>
  <c r="E8" i="32"/>
  <c r="C8" i="32"/>
  <c r="N7" i="32"/>
  <c r="O7" i="32" s="1"/>
  <c r="M7" i="32"/>
  <c r="J7" i="32"/>
  <c r="K8" i="32" s="1"/>
  <c r="G7" i="32"/>
  <c r="H8" i="32" s="1"/>
  <c r="F7" i="32"/>
  <c r="E7" i="32"/>
  <c r="C7" i="32"/>
  <c r="N6" i="32"/>
  <c r="O6" i="32" s="1"/>
  <c r="M6" i="32"/>
  <c r="J6" i="32"/>
  <c r="K7" i="32" s="1"/>
  <c r="G6" i="32"/>
  <c r="H7" i="32" s="1"/>
  <c r="F6" i="32"/>
  <c r="E6" i="32"/>
  <c r="C6" i="32"/>
  <c r="N5" i="32"/>
  <c r="O5" i="32" s="1"/>
  <c r="M5" i="32"/>
  <c r="J5" i="32"/>
  <c r="K6" i="32" s="1"/>
  <c r="G5" i="32"/>
  <c r="H6" i="32" s="1"/>
  <c r="F5" i="32"/>
  <c r="E5" i="32"/>
  <c r="C5" i="32"/>
  <c r="N4" i="32"/>
  <c r="O4" i="32" s="1"/>
  <c r="M4" i="32"/>
  <c r="J4" i="32"/>
  <c r="K5" i="32" s="1"/>
  <c r="G4" i="32"/>
  <c r="H5" i="32" s="1"/>
  <c r="F4" i="32"/>
  <c r="E4" i="32"/>
  <c r="C4" i="32"/>
  <c r="I4" i="32" s="1"/>
  <c r="N3" i="32"/>
  <c r="O3" i="32" s="1"/>
  <c r="M3" i="32"/>
  <c r="J3" i="32"/>
  <c r="K4" i="32" s="1"/>
  <c r="G3" i="32"/>
  <c r="H4" i="32" s="1"/>
  <c r="F3" i="32"/>
  <c r="F24" i="32" s="1"/>
  <c r="B27" i="32" s="1"/>
  <c r="E3" i="32"/>
  <c r="C3" i="32"/>
  <c r="N21" i="31"/>
  <c r="M21" i="31"/>
  <c r="J21" i="31"/>
  <c r="K21" i="31" s="1"/>
  <c r="G21" i="31"/>
  <c r="F21" i="31"/>
  <c r="E21" i="31"/>
  <c r="C21" i="31"/>
  <c r="L21" i="31" s="1"/>
  <c r="N20" i="31"/>
  <c r="M20" i="31"/>
  <c r="J20" i="31"/>
  <c r="K20" i="31" s="1"/>
  <c r="G20" i="31"/>
  <c r="H21" i="31" s="1"/>
  <c r="I21" i="31" s="1"/>
  <c r="F20" i="31"/>
  <c r="E20" i="31"/>
  <c r="C20" i="31"/>
  <c r="L20" i="31" s="1"/>
  <c r="N19" i="31"/>
  <c r="M19" i="31"/>
  <c r="J19" i="31"/>
  <c r="K19" i="31" s="1"/>
  <c r="G19" i="31"/>
  <c r="H20" i="31" s="1"/>
  <c r="I20" i="31" s="1"/>
  <c r="F19" i="31"/>
  <c r="E19" i="31"/>
  <c r="C19" i="31"/>
  <c r="L19" i="31" s="1"/>
  <c r="N18" i="31"/>
  <c r="M18" i="31"/>
  <c r="J18" i="31"/>
  <c r="K18" i="31" s="1"/>
  <c r="G18" i="31"/>
  <c r="H19" i="31" s="1"/>
  <c r="I19" i="31" s="1"/>
  <c r="F18" i="31"/>
  <c r="E18" i="31"/>
  <c r="C18" i="31"/>
  <c r="N17" i="31"/>
  <c r="M17" i="31"/>
  <c r="J17" i="31"/>
  <c r="K17" i="31" s="1"/>
  <c r="G17" i="31"/>
  <c r="H18" i="31" s="1"/>
  <c r="I18" i="31" s="1"/>
  <c r="F17" i="31"/>
  <c r="E17" i="31"/>
  <c r="C17" i="31"/>
  <c r="L17" i="31" s="1"/>
  <c r="N16" i="31"/>
  <c r="M16" i="31"/>
  <c r="J16" i="31"/>
  <c r="K16" i="31" s="1"/>
  <c r="G16" i="31"/>
  <c r="H17" i="31" s="1"/>
  <c r="I17" i="31" s="1"/>
  <c r="F16" i="31"/>
  <c r="E16" i="31"/>
  <c r="C16" i="31"/>
  <c r="L16" i="31" s="1"/>
  <c r="N15" i="31"/>
  <c r="M15" i="31"/>
  <c r="J15" i="31"/>
  <c r="K15" i="31" s="1"/>
  <c r="G15" i="31"/>
  <c r="H16" i="31" s="1"/>
  <c r="I16" i="31" s="1"/>
  <c r="F15" i="31"/>
  <c r="E15" i="31"/>
  <c r="C15" i="31"/>
  <c r="L15" i="31" s="1"/>
  <c r="N14" i="31"/>
  <c r="M14" i="31"/>
  <c r="J14" i="31"/>
  <c r="K14" i="31" s="1"/>
  <c r="G14" i="31"/>
  <c r="H15" i="31" s="1"/>
  <c r="I15" i="31" s="1"/>
  <c r="F14" i="31"/>
  <c r="E14" i="31"/>
  <c r="C14" i="31"/>
  <c r="L14" i="31" s="1"/>
  <c r="N13" i="31"/>
  <c r="M13" i="31"/>
  <c r="J13" i="31"/>
  <c r="K13" i="31" s="1"/>
  <c r="G13" i="31"/>
  <c r="H14" i="31" s="1"/>
  <c r="I14" i="31" s="1"/>
  <c r="F13" i="31"/>
  <c r="E13" i="31"/>
  <c r="C13" i="31"/>
  <c r="L13" i="31" s="1"/>
  <c r="N12" i="31"/>
  <c r="M12" i="31"/>
  <c r="J12" i="31"/>
  <c r="K12" i="31" s="1"/>
  <c r="G12" i="31"/>
  <c r="H13" i="31" s="1"/>
  <c r="I13" i="31" s="1"/>
  <c r="F12" i="31"/>
  <c r="E12" i="31"/>
  <c r="C12" i="31"/>
  <c r="L12" i="31" s="1"/>
  <c r="N11" i="31"/>
  <c r="M11" i="31"/>
  <c r="J11" i="31"/>
  <c r="K11" i="31" s="1"/>
  <c r="G11" i="31"/>
  <c r="H12" i="31" s="1"/>
  <c r="I12" i="31" s="1"/>
  <c r="F11" i="31"/>
  <c r="E11" i="31"/>
  <c r="C11" i="31"/>
  <c r="L11" i="31" s="1"/>
  <c r="N10" i="31"/>
  <c r="M10" i="31"/>
  <c r="J10" i="31"/>
  <c r="K10" i="31" s="1"/>
  <c r="G10" i="31"/>
  <c r="H11" i="31" s="1"/>
  <c r="I11" i="31" s="1"/>
  <c r="F10" i="31"/>
  <c r="E10" i="31"/>
  <c r="C10" i="31"/>
  <c r="N9" i="31"/>
  <c r="M9" i="31"/>
  <c r="J9" i="31"/>
  <c r="K9" i="31" s="1"/>
  <c r="G9" i="31"/>
  <c r="H10" i="31" s="1"/>
  <c r="I10" i="31" s="1"/>
  <c r="F9" i="31"/>
  <c r="E9" i="31"/>
  <c r="C9" i="31"/>
  <c r="L9" i="31" s="1"/>
  <c r="N8" i="31"/>
  <c r="M8" i="31"/>
  <c r="J8" i="31"/>
  <c r="K8" i="31" s="1"/>
  <c r="G8" i="31"/>
  <c r="H9" i="31" s="1"/>
  <c r="I9" i="31" s="1"/>
  <c r="F8" i="31"/>
  <c r="E8" i="31"/>
  <c r="C8" i="31"/>
  <c r="L8" i="31" s="1"/>
  <c r="N7" i="31"/>
  <c r="M7" i="31"/>
  <c r="J7" i="31"/>
  <c r="K7" i="31" s="1"/>
  <c r="G7" i="31"/>
  <c r="H8" i="31" s="1"/>
  <c r="I8" i="31" s="1"/>
  <c r="F7" i="31"/>
  <c r="E7" i="31"/>
  <c r="C7" i="31"/>
  <c r="L7" i="31" s="1"/>
  <c r="N6" i="31"/>
  <c r="M6" i="31"/>
  <c r="J6" i="31"/>
  <c r="K6" i="31" s="1"/>
  <c r="G6" i="31"/>
  <c r="H7" i="31" s="1"/>
  <c r="I7" i="31" s="1"/>
  <c r="F6" i="31"/>
  <c r="E6" i="31"/>
  <c r="C6" i="31"/>
  <c r="N5" i="31"/>
  <c r="M5" i="31"/>
  <c r="J5" i="31"/>
  <c r="K5" i="31" s="1"/>
  <c r="G5" i="31"/>
  <c r="H6" i="31" s="1"/>
  <c r="I6" i="31" s="1"/>
  <c r="F5" i="31"/>
  <c r="E5" i="31"/>
  <c r="L5" i="31"/>
  <c r="M4" i="31"/>
  <c r="J4" i="31"/>
  <c r="K4" i="31" s="1"/>
  <c r="G4" i="31"/>
  <c r="H5" i="31" s="1"/>
  <c r="I5" i="31" s="1"/>
  <c r="F4" i="31"/>
  <c r="E4" i="31"/>
  <c r="C4" i="31"/>
  <c r="L4" i="31" s="1"/>
  <c r="M3" i="31"/>
  <c r="N3" i="31" s="1"/>
  <c r="J3" i="31"/>
  <c r="K3" i="31" s="1"/>
  <c r="G3" i="31"/>
  <c r="H4" i="31" s="1"/>
  <c r="I4" i="31" s="1"/>
  <c r="F3" i="31"/>
  <c r="F22" i="31" s="1"/>
  <c r="B25" i="31" s="1"/>
  <c r="E3" i="31"/>
  <c r="C3" i="31"/>
  <c r="L3" i="31" s="1"/>
  <c r="M2" i="31"/>
  <c r="G2" i="31"/>
  <c r="H3" i="31" s="1"/>
  <c r="I3" i="31" s="1"/>
  <c r="F25" i="2"/>
  <c r="E25" i="2"/>
  <c r="F24" i="2"/>
  <c r="E24" i="2"/>
  <c r="F23" i="2"/>
  <c r="E23" i="2"/>
  <c r="F22" i="2"/>
  <c r="E22" i="2"/>
  <c r="F21" i="2"/>
  <c r="E21" i="2" s="1"/>
  <c r="F20" i="2"/>
  <c r="E20" i="2"/>
  <c r="F19" i="2"/>
  <c r="E19" i="2"/>
  <c r="F18" i="2"/>
  <c r="E18" i="2"/>
  <c r="F17" i="2"/>
  <c r="E17" i="2" s="1"/>
  <c r="F16" i="2"/>
  <c r="E16" i="2"/>
  <c r="F15" i="2"/>
  <c r="E15" i="2"/>
  <c r="F14" i="2"/>
  <c r="E14" i="2"/>
  <c r="F13" i="2"/>
  <c r="E13" i="2" s="1"/>
  <c r="F12" i="2"/>
  <c r="E12" i="2"/>
  <c r="F11" i="2"/>
  <c r="E11" i="2"/>
  <c r="F10" i="2"/>
  <c r="E10" i="2"/>
  <c r="F9" i="2"/>
  <c r="E9" i="2" s="1"/>
  <c r="F8" i="2"/>
  <c r="E8" i="2"/>
  <c r="F7" i="2"/>
  <c r="E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F6" i="2"/>
  <c r="E6" i="2"/>
  <c r="B6" i="2"/>
  <c r="F5" i="2"/>
  <c r="E5" i="2" s="1"/>
  <c r="B5" i="2"/>
  <c r="F4" i="2"/>
  <c r="E4" i="2"/>
  <c r="F3" i="2"/>
  <c r="E3" i="2"/>
  <c r="Q20" i="70" l="1"/>
  <c r="R20" i="70" s="1"/>
  <c r="Q19" i="70"/>
  <c r="R19" i="70" s="1"/>
  <c r="O25" i="40"/>
  <c r="N4" i="31"/>
  <c r="G5" i="42"/>
  <c r="M5" i="42"/>
  <c r="B6" i="42"/>
  <c r="C5" i="42"/>
  <c r="N5" i="42"/>
  <c r="O3" i="42"/>
  <c r="L3" i="42"/>
  <c r="G4" i="42"/>
  <c r="H5" i="42" s="1"/>
  <c r="C4" i="42"/>
  <c r="I13" i="41"/>
  <c r="I4" i="41"/>
  <c r="I8" i="41"/>
  <c r="I12" i="41"/>
  <c r="I16" i="41"/>
  <c r="I5" i="41"/>
  <c r="I7" i="41"/>
  <c r="I11" i="41"/>
  <c r="I15" i="41"/>
  <c r="I17" i="41"/>
  <c r="I6" i="41"/>
  <c r="I10" i="41"/>
  <c r="I14" i="41"/>
  <c r="L18" i="41"/>
  <c r="L22" i="41"/>
  <c r="O3" i="41"/>
  <c r="O4" i="41"/>
  <c r="O5" i="41"/>
  <c r="O6" i="41"/>
  <c r="O7" i="41"/>
  <c r="O8" i="41"/>
  <c r="O9" i="41"/>
  <c r="O10" i="41"/>
  <c r="O11" i="41"/>
  <c r="O12" i="41"/>
  <c r="O13" i="41"/>
  <c r="O14" i="41"/>
  <c r="O15" i="41"/>
  <c r="O16" i="41"/>
  <c r="O17" i="41"/>
  <c r="O18" i="41"/>
  <c r="O19" i="41"/>
  <c r="O20" i="41"/>
  <c r="O21" i="41"/>
  <c r="O22" i="41"/>
  <c r="O23" i="41"/>
  <c r="O24" i="41"/>
  <c r="H3" i="41"/>
  <c r="I3" i="41" s="1"/>
  <c r="I25" i="41" s="1"/>
  <c r="B29" i="41" s="1"/>
  <c r="B30" i="41" s="1"/>
  <c r="L3" i="41"/>
  <c r="L4" i="41"/>
  <c r="L5" i="41"/>
  <c r="L6" i="41"/>
  <c r="L7" i="41"/>
  <c r="L8" i="41"/>
  <c r="L9" i="41"/>
  <c r="L10" i="41"/>
  <c r="L11" i="41"/>
  <c r="L12" i="41"/>
  <c r="L13" i="41"/>
  <c r="L14" i="41"/>
  <c r="L15" i="41"/>
  <c r="L16" i="41"/>
  <c r="L17" i="41"/>
  <c r="L6" i="40"/>
  <c r="L10" i="40"/>
  <c r="L14" i="40"/>
  <c r="L18" i="40"/>
  <c r="L22" i="40"/>
  <c r="K3" i="40"/>
  <c r="L3" i="40" s="1"/>
  <c r="L25" i="40" s="1"/>
  <c r="B31" i="40" s="1"/>
  <c r="H3" i="40"/>
  <c r="I3" i="40" s="1"/>
  <c r="I25" i="40" s="1"/>
  <c r="B29" i="40" s="1"/>
  <c r="B30" i="40" s="1"/>
  <c r="K3" i="39"/>
  <c r="O3" i="39"/>
  <c r="O4" i="39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L4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5" i="38"/>
  <c r="L9" i="38"/>
  <c r="L13" i="38"/>
  <c r="L17" i="38"/>
  <c r="L21" i="38"/>
  <c r="K3" i="38"/>
  <c r="L3" i="38" s="1"/>
  <c r="L24" i="38" s="1"/>
  <c r="B30" i="38" s="1"/>
  <c r="O3" i="38"/>
  <c r="O24" i="38" s="1"/>
  <c r="B31" i="38" s="1"/>
  <c r="B32" i="38" s="1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I18" i="37"/>
  <c r="I22" i="37"/>
  <c r="F24" i="37"/>
  <c r="B27" i="37" s="1"/>
  <c r="K4" i="37"/>
  <c r="K8" i="37"/>
  <c r="L8" i="37" s="1"/>
  <c r="I9" i="37"/>
  <c r="K12" i="37"/>
  <c r="K16" i="37"/>
  <c r="L16" i="37" s="1"/>
  <c r="I17" i="37"/>
  <c r="I21" i="37"/>
  <c r="K22" i="37"/>
  <c r="H4" i="37"/>
  <c r="I4" i="37" s="1"/>
  <c r="H3" i="37"/>
  <c r="I3" i="37" s="1"/>
  <c r="I6" i="37"/>
  <c r="I10" i="37"/>
  <c r="I14" i="37"/>
  <c r="I20" i="37"/>
  <c r="K21" i="37"/>
  <c r="H5" i="37"/>
  <c r="I5" i="37" s="1"/>
  <c r="I7" i="37"/>
  <c r="H9" i="37"/>
  <c r="I11" i="37"/>
  <c r="H13" i="37"/>
  <c r="I13" i="37" s="1"/>
  <c r="I15" i="37"/>
  <c r="H17" i="37"/>
  <c r="I19" i="37"/>
  <c r="K20" i="37"/>
  <c r="L20" i="37" s="1"/>
  <c r="I23" i="37"/>
  <c r="L3" i="37"/>
  <c r="L4" i="37"/>
  <c r="L5" i="37"/>
  <c r="L6" i="37"/>
  <c r="L7" i="37"/>
  <c r="L9" i="37"/>
  <c r="L10" i="37"/>
  <c r="L11" i="37"/>
  <c r="L12" i="37"/>
  <c r="L13" i="37"/>
  <c r="L14" i="37"/>
  <c r="L15" i="37"/>
  <c r="L17" i="37"/>
  <c r="L18" i="37"/>
  <c r="L19" i="37"/>
  <c r="L21" i="37"/>
  <c r="L22" i="37"/>
  <c r="L23" i="37"/>
  <c r="I5" i="36"/>
  <c r="I9" i="36"/>
  <c r="I13" i="36"/>
  <c r="I17" i="36"/>
  <c r="I4" i="36"/>
  <c r="I8" i="36"/>
  <c r="I12" i="36"/>
  <c r="I16" i="36"/>
  <c r="I7" i="36"/>
  <c r="I11" i="36"/>
  <c r="I15" i="36"/>
  <c r="I6" i="36"/>
  <c r="I10" i="36"/>
  <c r="I14" i="36"/>
  <c r="I18" i="36"/>
  <c r="K3" i="36"/>
  <c r="H3" i="36"/>
  <c r="I3" i="36" s="1"/>
  <c r="I24" i="36" s="1"/>
  <c r="B28" i="36" s="1"/>
  <c r="B29" i="36" s="1"/>
  <c r="B32" i="36" s="1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I7" i="35"/>
  <c r="I11" i="35"/>
  <c r="I15" i="35"/>
  <c r="I6" i="35"/>
  <c r="I10" i="35"/>
  <c r="I14" i="35"/>
  <c r="I4" i="35"/>
  <c r="I8" i="35"/>
  <c r="I12" i="35"/>
  <c r="I16" i="35"/>
  <c r="O24" i="35"/>
  <c r="B31" i="35" s="1"/>
  <c r="I5" i="35"/>
  <c r="I9" i="35"/>
  <c r="I13" i="35"/>
  <c r="I17" i="35"/>
  <c r="L21" i="35"/>
  <c r="K3" i="35"/>
  <c r="H3" i="35"/>
  <c r="I3" i="35" s="1"/>
  <c r="I24" i="35" s="1"/>
  <c r="B28" i="35" s="1"/>
  <c r="B29" i="35" s="1"/>
  <c r="L3" i="35"/>
  <c r="L4" i="35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I23" i="34"/>
  <c r="I24" i="34" s="1"/>
  <c r="B28" i="34" s="1"/>
  <c r="F23" i="34"/>
  <c r="F24" i="34" s="1"/>
  <c r="B27" i="34" s="1"/>
  <c r="K3" i="34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L4" i="34"/>
  <c r="L8" i="34"/>
  <c r="L23" i="34"/>
  <c r="L3" i="34"/>
  <c r="L5" i="34"/>
  <c r="L6" i="34"/>
  <c r="L7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I8" i="33"/>
  <c r="I7" i="33"/>
  <c r="I11" i="33"/>
  <c r="I15" i="33"/>
  <c r="I19" i="33"/>
  <c r="I12" i="33"/>
  <c r="I6" i="33"/>
  <c r="I10" i="33"/>
  <c r="I14" i="33"/>
  <c r="I18" i="33"/>
  <c r="I16" i="33"/>
  <c r="I24" i="33"/>
  <c r="B28" i="33" s="1"/>
  <c r="B29" i="33" s="1"/>
  <c r="I5" i="33"/>
  <c r="I9" i="33"/>
  <c r="I13" i="33"/>
  <c r="I17" i="33"/>
  <c r="L21" i="33"/>
  <c r="K3" i="33"/>
  <c r="L3" i="33" s="1"/>
  <c r="L24" i="33" s="1"/>
  <c r="B30" i="33" s="1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3" i="33"/>
  <c r="L4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I16" i="32"/>
  <c r="I15" i="32"/>
  <c r="I19" i="32"/>
  <c r="I6" i="32"/>
  <c r="I10" i="32"/>
  <c r="I14" i="32"/>
  <c r="I18" i="32"/>
  <c r="I8" i="32"/>
  <c r="I12" i="32"/>
  <c r="I7" i="32"/>
  <c r="I11" i="32"/>
  <c r="O24" i="32"/>
  <c r="B31" i="32" s="1"/>
  <c r="I5" i="32"/>
  <c r="I9" i="32"/>
  <c r="I13" i="32"/>
  <c r="I17" i="32"/>
  <c r="L21" i="32"/>
  <c r="H3" i="32"/>
  <c r="I3" i="32" s="1"/>
  <c r="I24" i="32" s="1"/>
  <c r="B28" i="32" s="1"/>
  <c r="B29" i="32" s="1"/>
  <c r="L3" i="32"/>
  <c r="L4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K3" i="32"/>
  <c r="L6" i="31"/>
  <c r="L10" i="31"/>
  <c r="L22" i="31" s="1"/>
  <c r="B28" i="31" s="1"/>
  <c r="I22" i="31"/>
  <c r="B26" i="31" s="1"/>
  <c r="B27" i="31" s="1"/>
  <c r="L18" i="31"/>
  <c r="O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M6" i="42" l="1"/>
  <c r="G6" i="42"/>
  <c r="B7" i="42"/>
  <c r="C6" i="42"/>
  <c r="N6" i="42"/>
  <c r="L4" i="42"/>
  <c r="O4" i="42"/>
  <c r="F4" i="42"/>
  <c r="H4" i="42"/>
  <c r="I4" i="42" s="1"/>
  <c r="H6" i="42"/>
  <c r="O5" i="42"/>
  <c r="L5" i="42"/>
  <c r="F5" i="42"/>
  <c r="I5" i="42"/>
  <c r="L25" i="41"/>
  <c r="B31" i="41" s="1"/>
  <c r="O25" i="41"/>
  <c r="B32" i="41" s="1"/>
  <c r="B33" i="41" s="1"/>
  <c r="L24" i="39"/>
  <c r="B30" i="39" s="1"/>
  <c r="O24" i="39"/>
  <c r="B31" i="39" s="1"/>
  <c r="B32" i="39" s="1"/>
  <c r="I24" i="37"/>
  <c r="B28" i="37" s="1"/>
  <c r="B29" i="37" s="1"/>
  <c r="B32" i="37" s="1"/>
  <c r="L24" i="37"/>
  <c r="B30" i="37" s="1"/>
  <c r="L24" i="36"/>
  <c r="B30" i="36" s="1"/>
  <c r="L24" i="35"/>
  <c r="B30" i="35" s="1"/>
  <c r="B32" i="35"/>
  <c r="B29" i="34"/>
  <c r="L24" i="34"/>
  <c r="B30" i="34" s="1"/>
  <c r="O24" i="34"/>
  <c r="B31" i="34" s="1"/>
  <c r="O24" i="33"/>
  <c r="B31" i="33" s="1"/>
  <c r="B32" i="33" s="1"/>
  <c r="L24" i="32"/>
  <c r="B30" i="32" s="1"/>
  <c r="B32" i="32"/>
  <c r="O22" i="31"/>
  <c r="B29" i="31" s="1"/>
  <c r="B30" i="31" s="1"/>
  <c r="B32" i="34" l="1"/>
  <c r="M7" i="42"/>
  <c r="B8" i="42"/>
  <c r="C7" i="42"/>
  <c r="G7" i="42"/>
  <c r="F6" i="42"/>
  <c r="I6" i="42"/>
  <c r="L6" i="42"/>
  <c r="O6" i="42"/>
  <c r="N7" i="42"/>
  <c r="F7" i="42" l="1"/>
  <c r="L7" i="42"/>
  <c r="O7" i="42"/>
  <c r="B9" i="42"/>
  <c r="C8" i="42"/>
  <c r="M8" i="42"/>
  <c r="G8" i="42"/>
  <c r="H7" i="42"/>
  <c r="I7" i="42" s="1"/>
  <c r="N8" i="42"/>
  <c r="L8" i="42" l="1"/>
  <c r="O8" i="42"/>
  <c r="F8" i="42"/>
  <c r="H8" i="42"/>
  <c r="I8" i="42" s="1"/>
  <c r="G9" i="42"/>
  <c r="B10" i="42"/>
  <c r="M9" i="42"/>
  <c r="C9" i="42"/>
  <c r="L9" i="42" l="1"/>
  <c r="F9" i="42"/>
  <c r="N9" i="42"/>
  <c r="O9" i="42" s="1"/>
  <c r="M10" i="42"/>
  <c r="B11" i="42"/>
  <c r="C10" i="42"/>
  <c r="G10" i="42"/>
  <c r="H10" i="42"/>
  <c r="H9" i="42"/>
  <c r="I9" i="42" s="1"/>
  <c r="M11" i="42" l="1"/>
  <c r="B12" i="42"/>
  <c r="C11" i="42"/>
  <c r="G11" i="42"/>
  <c r="H11" i="42"/>
  <c r="F10" i="42"/>
  <c r="I10" i="42"/>
  <c r="L10" i="42"/>
  <c r="N10" i="42"/>
  <c r="O10" i="42" s="1"/>
  <c r="B13" i="42" l="1"/>
  <c r="C12" i="42"/>
  <c r="M12" i="42"/>
  <c r="G12" i="42"/>
  <c r="H12" i="42" s="1"/>
  <c r="I11" i="42"/>
  <c r="F11" i="42"/>
  <c r="L11" i="42"/>
  <c r="N11" i="42"/>
  <c r="O11" i="42" s="1"/>
  <c r="L12" i="42" l="1"/>
  <c r="F12" i="42"/>
  <c r="I12" i="42"/>
  <c r="N12" i="42"/>
  <c r="O12" i="42" s="1"/>
  <c r="G13" i="42"/>
  <c r="B14" i="42"/>
  <c r="M13" i="42"/>
  <c r="C13" i="42"/>
  <c r="N13" i="42" l="1"/>
  <c r="O13" i="42"/>
  <c r="F13" i="42"/>
  <c r="L13" i="42"/>
  <c r="M14" i="42"/>
  <c r="N14" i="42" s="1"/>
  <c r="B15" i="42"/>
  <c r="C14" i="42"/>
  <c r="G14" i="42"/>
  <c r="H13" i="42"/>
  <c r="I13" i="42" s="1"/>
  <c r="F14" i="42" l="1"/>
  <c r="O14" i="42"/>
  <c r="L14" i="42"/>
  <c r="M15" i="42"/>
  <c r="B16" i="42"/>
  <c r="C15" i="42"/>
  <c r="G15" i="42"/>
  <c r="H14" i="42"/>
  <c r="I14" i="42" s="1"/>
  <c r="B17" i="42" l="1"/>
  <c r="C16" i="42"/>
  <c r="M16" i="42"/>
  <c r="G16" i="42"/>
  <c r="H16" i="42"/>
  <c r="H15" i="42"/>
  <c r="I15" i="42"/>
  <c r="F15" i="42"/>
  <c r="L15" i="42"/>
  <c r="N15" i="42"/>
  <c r="O15" i="42" s="1"/>
  <c r="L16" i="42" l="1"/>
  <c r="F16" i="42"/>
  <c r="I16" i="42"/>
  <c r="G17" i="42"/>
  <c r="M17" i="42"/>
  <c r="B18" i="42"/>
  <c r="C17" i="42"/>
  <c r="N16" i="42"/>
  <c r="O16" i="42" s="1"/>
  <c r="G18" i="42" l="1"/>
  <c r="H18" i="42" s="1"/>
  <c r="M18" i="42"/>
  <c r="B19" i="42"/>
  <c r="C18" i="42"/>
  <c r="H17" i="42"/>
  <c r="I17" i="42" s="1"/>
  <c r="L17" i="42"/>
  <c r="F17" i="42"/>
  <c r="N17" i="42"/>
  <c r="O17" i="42" s="1"/>
  <c r="F18" i="42" l="1"/>
  <c r="I18" i="42"/>
  <c r="L18" i="42"/>
  <c r="M19" i="42"/>
  <c r="B20" i="42"/>
  <c r="C19" i="42"/>
  <c r="G19" i="42"/>
  <c r="H19" i="42" s="1"/>
  <c r="N18" i="42"/>
  <c r="O18" i="42" s="1"/>
  <c r="B21" i="42" l="1"/>
  <c r="C20" i="42"/>
  <c r="G20" i="42"/>
  <c r="M20" i="42"/>
  <c r="I19" i="42"/>
  <c r="L19" i="42"/>
  <c r="F19" i="42"/>
  <c r="N19" i="42"/>
  <c r="O19" i="42" s="1"/>
  <c r="L20" i="42" l="1"/>
  <c r="I20" i="42"/>
  <c r="F20" i="42"/>
  <c r="H21" i="42"/>
  <c r="H20" i="42"/>
  <c r="N20" i="42"/>
  <c r="O20" i="42" s="1"/>
  <c r="G21" i="42"/>
  <c r="B22" i="42"/>
  <c r="C21" i="42"/>
  <c r="M21" i="42"/>
  <c r="F21" i="42" l="1"/>
  <c r="L21" i="42"/>
  <c r="I21" i="42"/>
  <c r="M22" i="42"/>
  <c r="G22" i="42"/>
  <c r="B23" i="42"/>
  <c r="C22" i="42"/>
  <c r="N21" i="42"/>
  <c r="O21" i="42" s="1"/>
  <c r="M23" i="42" l="1"/>
  <c r="N24" i="42" s="1"/>
  <c r="C24" i="42"/>
  <c r="C23" i="42"/>
  <c r="G23" i="42"/>
  <c r="H24" i="42" s="1"/>
  <c r="H23" i="42"/>
  <c r="H22" i="42"/>
  <c r="I22" i="42" s="1"/>
  <c r="F22" i="42"/>
  <c r="L22" i="42"/>
  <c r="N22" i="42"/>
  <c r="O22" i="42" s="1"/>
  <c r="I24" i="42" l="1"/>
  <c r="L24" i="42"/>
  <c r="O24" i="42"/>
  <c r="O25" i="42" s="1"/>
  <c r="B32" i="42" s="1"/>
  <c r="F24" i="42"/>
  <c r="F25" i="42" s="1"/>
  <c r="B28" i="42" s="1"/>
  <c r="I23" i="42"/>
  <c r="L23" i="42"/>
  <c r="O23" i="42"/>
  <c r="F23" i="42"/>
  <c r="N23" i="42"/>
  <c r="L25" i="42" l="1"/>
  <c r="B31" i="42" s="1"/>
  <c r="I25" i="42"/>
  <c r="B29" i="42" s="1"/>
  <c r="B30" i="42" s="1"/>
  <c r="B33" i="42" s="1"/>
  <c r="B4" i="27" l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P2" i="6" l="1"/>
  <c r="M3" i="6"/>
  <c r="M4" i="6"/>
  <c r="M5" i="6"/>
  <c r="M6" i="6"/>
  <c r="M7" i="6"/>
  <c r="M8" i="6"/>
  <c r="M9" i="6"/>
  <c r="M10" i="6"/>
  <c r="M11" i="6"/>
  <c r="M12" i="6"/>
  <c r="N13" i="6" s="1"/>
  <c r="O13" i="6" s="1"/>
  <c r="M2" i="6"/>
  <c r="I3" i="6"/>
  <c r="I4" i="6"/>
  <c r="I5" i="6"/>
  <c r="I6" i="6"/>
  <c r="I7" i="6"/>
  <c r="I8" i="6"/>
  <c r="I9" i="6"/>
  <c r="I10" i="6"/>
  <c r="I11" i="6"/>
  <c r="I12" i="6"/>
  <c r="I2" i="6"/>
  <c r="E10" i="6"/>
  <c r="E11" i="6"/>
  <c r="E12" i="6"/>
  <c r="F12" i="6" s="1"/>
  <c r="C10" i="6"/>
  <c r="C11" i="6"/>
  <c r="C12" i="6"/>
  <c r="C4" i="6"/>
  <c r="C5" i="6"/>
  <c r="C6" i="6"/>
  <c r="C7" i="6"/>
  <c r="C8" i="6"/>
  <c r="C9" i="6"/>
  <c r="C3" i="6"/>
  <c r="E4" i="6"/>
  <c r="E5" i="6"/>
  <c r="E6" i="6"/>
  <c r="E7" i="6"/>
  <c r="E8" i="6"/>
  <c r="E9" i="6"/>
  <c r="E3" i="6"/>
  <c r="F3" i="6" s="1"/>
  <c r="G3" i="6" s="1"/>
  <c r="J8" i="6" l="1"/>
  <c r="K8" i="6" s="1"/>
  <c r="J4" i="6"/>
  <c r="K4" i="6" s="1"/>
  <c r="N7" i="6"/>
  <c r="O7" i="6" s="1"/>
  <c r="J12" i="6"/>
  <c r="K12" i="6" s="1"/>
  <c r="J13" i="6"/>
  <c r="K13" i="6" s="1"/>
  <c r="N5" i="6"/>
  <c r="O5" i="6" s="1"/>
  <c r="F7" i="6"/>
  <c r="F11" i="6"/>
  <c r="J11" i="6"/>
  <c r="K11" i="6" s="1"/>
  <c r="J7" i="6"/>
  <c r="K7" i="6" s="1"/>
  <c r="J6" i="6"/>
  <c r="K6" i="6" s="1"/>
  <c r="N9" i="6"/>
  <c r="O9" i="6" s="1"/>
  <c r="J9" i="6"/>
  <c r="K9" i="6" s="1"/>
  <c r="N12" i="6"/>
  <c r="O12" i="6" s="1"/>
  <c r="N8" i="6"/>
  <c r="O8" i="6" s="1"/>
  <c r="N4" i="6"/>
  <c r="O4" i="6" s="1"/>
  <c r="F9" i="6"/>
  <c r="F5" i="6"/>
  <c r="J3" i="6"/>
  <c r="K3" i="6" s="1"/>
  <c r="L3" i="6" s="1"/>
  <c r="J10" i="6"/>
  <c r="K10" i="6" s="1"/>
  <c r="N10" i="6"/>
  <c r="O10" i="6" s="1"/>
  <c r="N6" i="6"/>
  <c r="O6" i="6" s="1"/>
  <c r="F8" i="6"/>
  <c r="F4" i="6"/>
  <c r="G4" i="6" s="1"/>
  <c r="J5" i="6"/>
  <c r="K5" i="6" s="1"/>
  <c r="N11" i="6"/>
  <c r="O11" i="6" s="1"/>
  <c r="F6" i="6"/>
  <c r="F10" i="6"/>
  <c r="N3" i="6"/>
  <c r="O3" i="6" s="1"/>
  <c r="P3" i="6" s="1"/>
  <c r="G5" i="6" l="1"/>
  <c r="G6" i="6" s="1"/>
  <c r="G7" i="6" s="1"/>
  <c r="G8" i="6" s="1"/>
  <c r="G9" i="6" s="1"/>
  <c r="G10" i="6" s="1"/>
  <c r="G11" i="6" s="1"/>
  <c r="G12" i="6" s="1"/>
  <c r="G13" i="6" s="1"/>
  <c r="P4" i="6"/>
  <c r="P5" i="6" s="1"/>
  <c r="P6" i="6" s="1"/>
  <c r="P7" i="6" s="1"/>
  <c r="P8" i="6" s="1"/>
  <c r="P9" i="6" s="1"/>
  <c r="P10" i="6" s="1"/>
  <c r="P11" i="6" s="1"/>
  <c r="P12" i="6" s="1"/>
  <c r="P13" i="6" s="1"/>
  <c r="L4" i="6"/>
  <c r="L5" i="6" s="1"/>
  <c r="L6" i="6" s="1"/>
  <c r="L7" i="6" s="1"/>
  <c r="L8" i="6" s="1"/>
  <c r="L9" i="6" s="1"/>
  <c r="L10" i="6" s="1"/>
  <c r="L11" i="6" s="1"/>
  <c r="L12" i="6" s="1"/>
  <c r="L13" i="6" s="1"/>
  <c r="L14" i="6" l="1"/>
  <c r="G14" i="6"/>
  <c r="P14" i="6"/>
  <c r="B18" i="6" l="1"/>
  <c r="B16" i="6"/>
</calcChain>
</file>

<file path=xl/sharedStrings.xml><?xml version="1.0" encoding="utf-8"?>
<sst xmlns="http://schemas.openxmlformats.org/spreadsheetml/2006/main" count="1431" uniqueCount="174">
  <si>
    <t>Cuple</t>
  </si>
  <si>
    <t>Oglinda</t>
  </si>
  <si>
    <t>X</t>
  </si>
  <si>
    <t>Y</t>
  </si>
  <si>
    <t>Z</t>
  </si>
  <si>
    <t>LPPD</t>
  </si>
  <si>
    <t>f</t>
  </si>
  <si>
    <t>Prova</t>
  </si>
  <si>
    <t>WL</t>
  </si>
  <si>
    <t>-</t>
  </si>
  <si>
    <t>My</t>
  </si>
  <si>
    <t>Awl</t>
  </si>
  <si>
    <t>S(Y)</t>
  </si>
  <si>
    <t>Cupla</t>
  </si>
  <si>
    <t>V</t>
  </si>
  <si>
    <t>Xf</t>
  </si>
  <si>
    <t>Ix</t>
  </si>
  <si>
    <t>Iy</t>
  </si>
  <si>
    <t>IyF</t>
  </si>
  <si>
    <t>m</t>
  </si>
  <si>
    <t>XY</t>
  </si>
  <si>
    <t>S(XY)</t>
  </si>
  <si>
    <t>Y [m]</t>
  </si>
  <si>
    <t>Nr.</t>
  </si>
  <si>
    <t>Z [m]</t>
  </si>
  <si>
    <t>X [m]</t>
  </si>
  <si>
    <t>4. Long.</t>
  </si>
  <si>
    <t>3. WL</t>
  </si>
  <si>
    <t>2. Cuple</t>
  </si>
  <si>
    <t>B/4</t>
  </si>
  <si>
    <t>δB</t>
  </si>
  <si>
    <t>Distanta intre longitudinale intregi</t>
  </si>
  <si>
    <t>T/9</t>
  </si>
  <si>
    <t>δT</t>
  </si>
  <si>
    <t>Distanta intre plutiri intregi</t>
  </si>
  <si>
    <t>Lpp/20</t>
  </si>
  <si>
    <t>δL</t>
  </si>
  <si>
    <t>Distanta intre cuple intregi</t>
  </si>
  <si>
    <t>T</t>
  </si>
  <si>
    <t>Pescaj de calcul</t>
  </si>
  <si>
    <t>D</t>
  </si>
  <si>
    <t>Inaltime de constructie</t>
  </si>
  <si>
    <t>B</t>
  </si>
  <si>
    <t>Latime</t>
  </si>
  <si>
    <t>Lpp</t>
  </si>
  <si>
    <t>Lungime</t>
  </si>
  <si>
    <t>Simbol</t>
  </si>
  <si>
    <t>Dimensiunea</t>
  </si>
  <si>
    <t>R</t>
  </si>
  <si>
    <t>r</t>
  </si>
  <si>
    <t>Zb</t>
  </si>
  <si>
    <t>Xb</t>
  </si>
  <si>
    <t>∆</t>
  </si>
  <si>
    <t>LPD</t>
  </si>
  <si>
    <t>z</t>
  </si>
  <si>
    <t>Pupa</t>
  </si>
  <si>
    <t>Xpp</t>
  </si>
  <si>
    <t>Xpv</t>
  </si>
  <si>
    <t xml:space="preserve">dx </t>
  </si>
  <si>
    <t>extr. PP</t>
  </si>
  <si>
    <t>extr.PV</t>
  </si>
  <si>
    <t>Sume</t>
  </si>
  <si>
    <t>m2</t>
  </si>
  <si>
    <t>Myw</t>
  </si>
  <si>
    <t>m3</t>
  </si>
  <si>
    <t>m4</t>
  </si>
  <si>
    <t>point[</t>
  </si>
  <si>
    <t>0]</t>
  </si>
  <si>
    <t>=</t>
  </si>
  <si>
    <t>0)</t>
  </si>
  <si>
    <t>1]</t>
  </si>
  <si>
    <t>2]</t>
  </si>
  <si>
    <t>3]</t>
  </si>
  <si>
    <t>4]</t>
  </si>
  <si>
    <t>5]</t>
  </si>
  <si>
    <t>6]</t>
  </si>
  <si>
    <t>7]</t>
  </si>
  <si>
    <t>8]</t>
  </si>
  <si>
    <t>9]</t>
  </si>
  <si>
    <t>point[10]</t>
  </si>
  <si>
    <t>point[11]</t>
  </si>
  <si>
    <t>point[12]</t>
  </si>
  <si>
    <t>point[13]</t>
  </si>
  <si>
    <t>point[14]</t>
  </si>
  <si>
    <t>point[15]</t>
  </si>
  <si>
    <t>point[16]</t>
  </si>
  <si>
    <t>point[17]</t>
  </si>
  <si>
    <t>point[18]</t>
  </si>
  <si>
    <t>point[19]</t>
  </si>
  <si>
    <t>Valoarea [m]</t>
  </si>
  <si>
    <r>
      <t>y</t>
    </r>
    <r>
      <rPr>
        <b/>
        <vertAlign val="superscript"/>
        <sz val="11"/>
        <color rgb="FF3F3F76"/>
        <rFont val="Times New Roman"/>
        <family val="1"/>
      </rPr>
      <t>3</t>
    </r>
  </si>
  <si>
    <r>
      <t>x</t>
    </r>
    <r>
      <rPr>
        <b/>
        <vertAlign val="superscript"/>
        <sz val="11"/>
        <color rgb="FF3F3F76"/>
        <rFont val="Times New Roman"/>
        <family val="1"/>
      </rPr>
      <t>2</t>
    </r>
    <r>
      <rPr>
        <b/>
        <sz val="11"/>
        <color rgb="FF3F3F76"/>
        <rFont val="Times New Roman"/>
        <family val="1"/>
      </rPr>
      <t>y</t>
    </r>
  </si>
  <si>
    <r>
      <t>S(x</t>
    </r>
    <r>
      <rPr>
        <b/>
        <vertAlign val="superscript"/>
        <sz val="11"/>
        <color rgb="FF3F3F76"/>
        <rFont val="Times New Roman"/>
        <family val="1"/>
      </rPr>
      <t>2</t>
    </r>
    <r>
      <rPr>
        <b/>
        <sz val="11"/>
        <color rgb="FF3F3F76"/>
        <rFont val="Times New Roman"/>
        <family val="1"/>
      </rPr>
      <t>+y)</t>
    </r>
  </si>
  <si>
    <r>
      <t>S(Y</t>
    </r>
    <r>
      <rPr>
        <b/>
        <vertAlign val="superscript"/>
        <sz val="11"/>
        <color rgb="FF3F3F76"/>
        <rFont val="Times New Roman"/>
        <family val="1"/>
      </rPr>
      <t>3</t>
    </r>
    <r>
      <rPr>
        <b/>
        <sz val="11"/>
        <color rgb="FF3F3F76"/>
        <rFont val="Times New Roman"/>
        <family val="1"/>
      </rPr>
      <t>)</t>
    </r>
  </si>
  <si>
    <t>dx</t>
  </si>
  <si>
    <t>Suma</t>
  </si>
  <si>
    <t>Yb</t>
  </si>
  <si>
    <t>dz</t>
  </si>
  <si>
    <r>
      <t>X</t>
    </r>
    <r>
      <rPr>
        <b/>
        <vertAlign val="subscript"/>
        <sz val="11"/>
        <color rgb="FF3F3F76"/>
        <rFont val="Times New Roman"/>
        <family val="1"/>
      </rPr>
      <t>f</t>
    </r>
    <r>
      <rPr>
        <b/>
        <sz val="11"/>
        <color rgb="FF3F3F76"/>
        <rFont val="Times New Roman"/>
        <family val="1"/>
      </rPr>
      <t>A</t>
    </r>
    <r>
      <rPr>
        <b/>
        <vertAlign val="subscript"/>
        <sz val="11"/>
        <color rgb="FF3F3F76"/>
        <rFont val="Times New Roman"/>
        <family val="1"/>
      </rPr>
      <t>WL</t>
    </r>
  </si>
  <si>
    <r>
      <t>X</t>
    </r>
    <r>
      <rPr>
        <b/>
        <vertAlign val="subscript"/>
        <sz val="11"/>
        <color rgb="FF3F3F76"/>
        <rFont val="Times New Roman"/>
        <family val="1"/>
      </rPr>
      <t>F</t>
    </r>
  </si>
  <si>
    <r>
      <t>V</t>
    </r>
    <r>
      <rPr>
        <b/>
        <vertAlign val="subscript"/>
        <sz val="11"/>
        <color rgb="FF3F3F76"/>
        <rFont val="Times New Roman"/>
        <family val="1"/>
      </rPr>
      <t>i</t>
    </r>
  </si>
  <si>
    <r>
      <t>s(A</t>
    </r>
    <r>
      <rPr>
        <b/>
        <vertAlign val="subscript"/>
        <sz val="11"/>
        <color rgb="FF3F3F76"/>
        <rFont val="Times New Roman"/>
        <family val="1"/>
      </rPr>
      <t>W</t>
    </r>
    <r>
      <rPr>
        <b/>
        <sz val="11"/>
        <color rgb="FF3F3F76"/>
        <rFont val="Times New Roman"/>
        <family val="1"/>
      </rPr>
      <t>)</t>
    </r>
  </si>
  <si>
    <r>
      <t>A</t>
    </r>
    <r>
      <rPr>
        <b/>
        <vertAlign val="subscript"/>
        <sz val="11"/>
        <color rgb="FF3F3F76"/>
        <rFont val="Times New Roman"/>
        <family val="1"/>
      </rPr>
      <t>W</t>
    </r>
  </si>
  <si>
    <r>
      <t>s(X</t>
    </r>
    <r>
      <rPr>
        <b/>
        <vertAlign val="subscript"/>
        <sz val="11"/>
        <color rgb="FF3F3F76"/>
        <rFont val="Times New Roman"/>
        <family val="1"/>
      </rPr>
      <t>F</t>
    </r>
    <r>
      <rPr>
        <b/>
        <sz val="11"/>
        <color rgb="FF3F3F76"/>
        <rFont val="Times New Roman"/>
        <family val="1"/>
      </rPr>
      <t>A</t>
    </r>
    <r>
      <rPr>
        <b/>
        <vertAlign val="subscript"/>
        <sz val="11"/>
        <color rgb="FF3F3F76"/>
        <rFont val="Times New Roman"/>
        <family val="1"/>
      </rPr>
      <t>WL</t>
    </r>
    <r>
      <rPr>
        <b/>
        <sz val="11"/>
        <color rgb="FF3F3F76"/>
        <rFont val="Times New Roman"/>
        <family val="1"/>
      </rPr>
      <t>)</t>
    </r>
  </si>
  <si>
    <r>
      <t>m</t>
    </r>
    <r>
      <rPr>
        <b/>
        <vertAlign val="subscript"/>
        <sz val="11"/>
        <color rgb="FF3F3F76"/>
        <rFont val="Times New Roman"/>
        <family val="1"/>
      </rPr>
      <t>yoz</t>
    </r>
  </si>
  <si>
    <r>
      <t>M</t>
    </r>
    <r>
      <rPr>
        <b/>
        <vertAlign val="subscript"/>
        <sz val="11"/>
        <color rgb="FF3F3F76"/>
        <rFont val="Times New Roman"/>
        <family val="1"/>
      </rPr>
      <t>yOz</t>
    </r>
  </si>
  <si>
    <r>
      <t>zA</t>
    </r>
    <r>
      <rPr>
        <b/>
        <vertAlign val="subscript"/>
        <sz val="11"/>
        <color rgb="FF3F3F76"/>
        <rFont val="Times New Roman"/>
        <family val="1"/>
      </rPr>
      <t>WL</t>
    </r>
  </si>
  <si>
    <r>
      <t>s(zA</t>
    </r>
    <r>
      <rPr>
        <b/>
        <vertAlign val="subscript"/>
        <sz val="11"/>
        <color rgb="FF3F3F76"/>
        <rFont val="Times New Roman"/>
        <family val="1"/>
      </rPr>
      <t>WL</t>
    </r>
    <r>
      <rPr>
        <b/>
        <sz val="11"/>
        <color rgb="FF3F3F76"/>
        <rFont val="Times New Roman"/>
        <family val="1"/>
      </rPr>
      <t>)</t>
    </r>
  </si>
  <si>
    <r>
      <t>m</t>
    </r>
    <r>
      <rPr>
        <b/>
        <vertAlign val="subscript"/>
        <sz val="11"/>
        <color rgb="FF3F3F76"/>
        <rFont val="Times New Roman"/>
        <family val="1"/>
      </rPr>
      <t>xOy</t>
    </r>
  </si>
  <si>
    <r>
      <t>M</t>
    </r>
    <r>
      <rPr>
        <b/>
        <vertAlign val="subscript"/>
        <sz val="11"/>
        <color rgb="FF3F3F76"/>
        <rFont val="Times New Roman"/>
        <family val="1"/>
      </rPr>
      <t>xOy</t>
    </r>
  </si>
  <si>
    <t>AW</t>
  </si>
  <si>
    <t xml:space="preserve">Deplasamentul in apa sarata </t>
  </si>
  <si>
    <t>Abscisa centrului de volum</t>
  </si>
  <si>
    <t>Cota Centrului de volum</t>
  </si>
  <si>
    <t>Coeficient de invelis si apendici</t>
  </si>
  <si>
    <t>(1+k)=1.006</t>
  </si>
  <si>
    <t>Raza metacentrica transversala</t>
  </si>
  <si>
    <t>r=Ix/V</t>
  </si>
  <si>
    <t>Raza metacentrica longitudinala</t>
  </si>
  <si>
    <t>R=Iyf/V</t>
  </si>
  <si>
    <t>Concantetate</t>
  </si>
  <si>
    <t>Δ</t>
  </si>
  <si>
    <r>
      <t>X</t>
    </r>
    <r>
      <rPr>
        <vertAlign val="sub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=M</t>
    </r>
    <r>
      <rPr>
        <vertAlign val="subscript"/>
        <sz val="11"/>
        <color theme="1"/>
        <rFont val="Times New Roman"/>
        <family val="1"/>
      </rPr>
      <t>yOz</t>
    </r>
    <r>
      <rPr>
        <sz val="11"/>
        <color theme="1"/>
        <rFont val="Times New Roman"/>
        <family val="1"/>
      </rPr>
      <t>/V</t>
    </r>
  </si>
  <si>
    <r>
      <t>Z</t>
    </r>
    <r>
      <rPr>
        <vertAlign val="sub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=M</t>
    </r>
    <r>
      <rPr>
        <vertAlign val="subscript"/>
        <sz val="11"/>
        <color theme="1"/>
        <rFont val="Times New Roman"/>
        <family val="1"/>
      </rPr>
      <t>xOy</t>
    </r>
    <r>
      <rPr>
        <sz val="11"/>
        <color theme="1"/>
        <rFont val="Times New Roman"/>
        <family val="1"/>
      </rPr>
      <t>/V</t>
    </r>
  </si>
  <si>
    <t xml:space="preserve">Δ - scara </t>
  </si>
  <si>
    <t xml:space="preserve">V - scara </t>
  </si>
  <si>
    <t>V - scara</t>
  </si>
  <si>
    <t>Δ - scara</t>
  </si>
  <si>
    <t xml:space="preserve">Z - scara </t>
  </si>
  <si>
    <t>IyF -scara</t>
  </si>
  <si>
    <t>r -scara</t>
  </si>
  <si>
    <t>R -scara</t>
  </si>
  <si>
    <r>
      <t>I</t>
    </r>
    <r>
      <rPr>
        <b/>
        <vertAlign val="subscript"/>
        <sz val="11"/>
        <color rgb="FF3F3F76"/>
        <rFont val="Times New Roman"/>
        <family val="1"/>
      </rPr>
      <t>X</t>
    </r>
  </si>
  <si>
    <r>
      <t>Z</t>
    </r>
    <r>
      <rPr>
        <b/>
        <vertAlign val="subscript"/>
        <sz val="11"/>
        <color rgb="FF3F3F76"/>
        <rFont val="Times New Roman"/>
        <family val="1"/>
      </rPr>
      <t>B</t>
    </r>
  </si>
  <si>
    <r>
      <t>X</t>
    </r>
    <r>
      <rPr>
        <b/>
        <vertAlign val="subscript"/>
        <sz val="11"/>
        <color rgb="FF3F3F76"/>
        <rFont val="Times New Roman"/>
        <family val="1"/>
      </rPr>
      <t>B</t>
    </r>
  </si>
  <si>
    <t>Δ=ρ(1+k)V</t>
  </si>
  <si>
    <t xml:space="preserve">AW - scara </t>
  </si>
  <si>
    <t>AW - scara</t>
  </si>
  <si>
    <r>
      <t>X</t>
    </r>
    <r>
      <rPr>
        <b/>
        <vertAlign val="subscript"/>
        <sz val="11"/>
        <color rgb="FF3F3F76"/>
        <rFont val="Times New Roman"/>
        <family val="1"/>
      </rPr>
      <t>F</t>
    </r>
    <r>
      <rPr>
        <b/>
        <sz val="11"/>
        <color rgb="FF3F3F76"/>
        <rFont val="Times New Roman"/>
        <family val="1"/>
      </rPr>
      <t xml:space="preserve"> - scara </t>
    </r>
  </si>
  <si>
    <r>
      <t>X</t>
    </r>
    <r>
      <rPr>
        <b/>
        <vertAlign val="subscript"/>
        <sz val="11"/>
        <color rgb="FF3F3F76"/>
        <rFont val="Times New Roman"/>
        <family val="1"/>
      </rPr>
      <t>F</t>
    </r>
    <r>
      <rPr>
        <b/>
        <sz val="11"/>
        <color rgb="FF3F3F76"/>
        <rFont val="Times New Roman"/>
        <family val="1"/>
      </rPr>
      <t xml:space="preserve"> - scara</t>
    </r>
  </si>
  <si>
    <r>
      <t>X</t>
    </r>
    <r>
      <rPr>
        <b/>
        <vertAlign val="subscript"/>
        <sz val="11"/>
        <color rgb="FF3F3F76"/>
        <rFont val="Times New Roman"/>
        <family val="1"/>
      </rPr>
      <t>B</t>
    </r>
    <r>
      <rPr>
        <b/>
        <sz val="11"/>
        <color rgb="FF3F3F76"/>
        <rFont val="Times New Roman"/>
        <family val="1"/>
      </rPr>
      <t xml:space="preserve"> - scara </t>
    </r>
  </si>
  <si>
    <r>
      <t>X</t>
    </r>
    <r>
      <rPr>
        <b/>
        <vertAlign val="subscript"/>
        <sz val="11"/>
        <color rgb="FF3F3F76"/>
        <rFont val="Times New Roman"/>
        <family val="1"/>
      </rPr>
      <t>B</t>
    </r>
    <r>
      <rPr>
        <b/>
        <sz val="11"/>
        <color rgb="FF3F3F76"/>
        <rFont val="Times New Roman"/>
        <family val="1"/>
      </rPr>
      <t xml:space="preserve"> - scara</t>
    </r>
  </si>
  <si>
    <r>
      <t>I</t>
    </r>
    <r>
      <rPr>
        <b/>
        <vertAlign val="subscript"/>
        <sz val="11"/>
        <color rgb="FF3F3F76"/>
        <rFont val="Times New Roman"/>
        <family val="1"/>
      </rPr>
      <t>X</t>
    </r>
    <r>
      <rPr>
        <b/>
        <sz val="11"/>
        <color rgb="FF3F3F76"/>
        <rFont val="Times New Roman"/>
        <family val="1"/>
      </rPr>
      <t xml:space="preserve"> - scara </t>
    </r>
  </si>
  <si>
    <r>
      <t>I</t>
    </r>
    <r>
      <rPr>
        <b/>
        <vertAlign val="subscript"/>
        <sz val="11"/>
        <color rgb="FF3F3F76"/>
        <rFont val="Times New Roman"/>
        <family val="1"/>
      </rPr>
      <t>X</t>
    </r>
    <r>
      <rPr>
        <b/>
        <sz val="11"/>
        <color rgb="FF3F3F76"/>
        <rFont val="Times New Roman"/>
        <family val="1"/>
      </rPr>
      <t xml:space="preserve"> -scara</t>
    </r>
  </si>
  <si>
    <r>
      <t>Z</t>
    </r>
    <r>
      <rPr>
        <b/>
        <vertAlign val="subscript"/>
        <sz val="11"/>
        <color rgb="FF3F3F76"/>
        <rFont val="Times New Roman"/>
        <family val="1"/>
      </rPr>
      <t>B</t>
    </r>
    <r>
      <rPr>
        <b/>
        <sz val="11"/>
        <color rgb="FF3F3F76"/>
        <rFont val="Times New Roman"/>
        <family val="1"/>
      </rPr>
      <t xml:space="preserve"> - scara</t>
    </r>
  </si>
  <si>
    <r>
      <t>Z</t>
    </r>
    <r>
      <rPr>
        <b/>
        <vertAlign val="subscript"/>
        <sz val="11"/>
        <color rgb="FF3F3F76"/>
        <rFont val="Times New Roman"/>
        <family val="1"/>
      </rPr>
      <t>B</t>
    </r>
    <r>
      <rPr>
        <b/>
        <sz val="11"/>
        <color rgb="FF3F3F76"/>
        <rFont val="Times New Roman"/>
        <family val="1"/>
      </rPr>
      <t xml:space="preserve"> - scara </t>
    </r>
  </si>
  <si>
    <t>dZ</t>
  </si>
  <si>
    <t>s(Y)</t>
  </si>
  <si>
    <t>aT</t>
  </si>
  <si>
    <t>AT</t>
  </si>
  <si>
    <t>ZY</t>
  </si>
  <si>
    <t>s(ZY)</t>
  </si>
  <si>
    <t>mAT</t>
  </si>
  <si>
    <t>MYT</t>
  </si>
  <si>
    <t>LPB</t>
  </si>
  <si>
    <t>Z - scara</t>
  </si>
  <si>
    <t>AT - scara</t>
  </si>
  <si>
    <t>Concatenate</t>
  </si>
  <si>
    <t>EXT</t>
  </si>
  <si>
    <t>MYT - scara</t>
  </si>
  <si>
    <r>
      <t>A</t>
    </r>
    <r>
      <rPr>
        <b/>
        <vertAlign val="subscript"/>
        <sz val="11"/>
        <color rgb="FF3F3F76"/>
        <rFont val="Times New Roman"/>
        <family val="1"/>
      </rPr>
      <t>M</t>
    </r>
  </si>
  <si>
    <r>
      <t>C</t>
    </r>
    <r>
      <rPr>
        <b/>
        <vertAlign val="subscript"/>
        <sz val="11"/>
        <color rgb="FF3F3F76"/>
        <rFont val="Times New Roman"/>
        <family val="1"/>
      </rPr>
      <t>W</t>
    </r>
  </si>
  <si>
    <r>
      <t>C</t>
    </r>
    <r>
      <rPr>
        <b/>
        <vertAlign val="subscript"/>
        <sz val="11"/>
        <color rgb="FF3F3F76"/>
        <rFont val="Times New Roman"/>
        <family val="1"/>
      </rPr>
      <t>B</t>
    </r>
  </si>
  <si>
    <r>
      <t>C</t>
    </r>
    <r>
      <rPr>
        <b/>
        <vertAlign val="subscript"/>
        <sz val="11"/>
        <color rgb="FF3F3F76"/>
        <rFont val="Times New Roman"/>
        <family val="1"/>
      </rPr>
      <t>M</t>
    </r>
  </si>
  <si>
    <r>
      <t>C</t>
    </r>
    <r>
      <rPr>
        <b/>
        <vertAlign val="subscript"/>
        <sz val="11"/>
        <color rgb="FF3F3F76"/>
        <rFont val="Times New Roman"/>
        <family val="1"/>
      </rPr>
      <t>PL</t>
    </r>
  </si>
  <si>
    <r>
      <t>C</t>
    </r>
    <r>
      <rPr>
        <b/>
        <vertAlign val="subscript"/>
        <sz val="11"/>
        <color rgb="FF3F3F76"/>
        <rFont val="Times New Roman"/>
        <family val="1"/>
      </rPr>
      <t>PV</t>
    </r>
  </si>
  <si>
    <r>
      <t>C</t>
    </r>
    <r>
      <rPr>
        <b/>
        <vertAlign val="subscript"/>
        <sz val="11"/>
        <color theme="0"/>
        <rFont val="Times New Roman"/>
        <family val="1"/>
      </rPr>
      <t>W</t>
    </r>
  </si>
  <si>
    <r>
      <t>L</t>
    </r>
    <r>
      <rPr>
        <b/>
        <vertAlign val="subscript"/>
        <sz val="11"/>
        <color rgb="FF3F3F76"/>
        <rFont val="Times New Roman"/>
        <family val="1"/>
      </rPr>
      <t>WL</t>
    </r>
  </si>
  <si>
    <r>
      <t>C</t>
    </r>
    <r>
      <rPr>
        <b/>
        <vertAlign val="subscript"/>
        <sz val="11"/>
        <color theme="0"/>
        <rFont val="Times New Roman"/>
        <family val="1"/>
      </rPr>
      <t>M</t>
    </r>
  </si>
  <si>
    <r>
      <t>C</t>
    </r>
    <r>
      <rPr>
        <b/>
        <vertAlign val="subscript"/>
        <sz val="11"/>
        <color theme="0"/>
        <rFont val="Times New Roman"/>
        <family val="1"/>
      </rPr>
      <t>B</t>
    </r>
  </si>
  <si>
    <t>B/2</t>
  </si>
  <si>
    <t>B*T</t>
  </si>
  <si>
    <r>
      <t>L</t>
    </r>
    <r>
      <rPr>
        <b/>
        <vertAlign val="subscript"/>
        <sz val="11"/>
        <color rgb="FF3F3F76"/>
        <rFont val="Times New Roman"/>
        <family val="1"/>
      </rPr>
      <t>WL</t>
    </r>
    <r>
      <rPr>
        <b/>
        <sz val="11"/>
        <color rgb="FF3F3F76"/>
        <rFont val="Times New Roman"/>
        <family val="1"/>
      </rPr>
      <t>*B</t>
    </r>
  </si>
  <si>
    <r>
      <t>L</t>
    </r>
    <r>
      <rPr>
        <b/>
        <vertAlign val="subscript"/>
        <sz val="11"/>
        <color rgb="FF3F3F76"/>
        <rFont val="Times New Roman"/>
        <family val="1"/>
      </rPr>
      <t>WL</t>
    </r>
    <r>
      <rPr>
        <b/>
        <sz val="11"/>
        <color rgb="FF3F3F76"/>
        <rFont val="Times New Roman"/>
        <family val="1"/>
      </rPr>
      <t>*B*T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</si>
</sst>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3F3F76"/>
      <name val="Times New Roman"/>
      <family val="1"/>
    </font>
    <font>
      <sz val="11"/>
      <color rgb="FF9C0006"/>
      <name val="Times New Roman"/>
      <family val="1"/>
    </font>
    <font>
      <b/>
      <vertAlign val="superscript"/>
      <sz val="11"/>
      <color rgb="FF3F3F76"/>
      <name val="Times New Roman"/>
      <family val="1"/>
    </font>
    <font>
      <b/>
      <vertAlign val="subscript"/>
      <sz val="11"/>
      <color rgb="FF3F3F76"/>
      <name val="Times New Roman"/>
      <family val="1"/>
    </font>
    <font>
      <sz val="11"/>
      <color rgb="FF006100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  <font>
      <b/>
      <vertAlign val="subscript"/>
      <sz val="11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A5A5A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19" applyNumberFormat="0" applyAlignment="0" applyProtection="0"/>
    <xf numFmtId="0" fontId="4" fillId="5" borderId="0" applyNumberFormat="0" applyBorder="0" applyAlignment="0" applyProtection="0"/>
    <xf numFmtId="0" fontId="14" fillId="6" borderId="37" applyNumberFormat="0" applyAlignment="0" applyProtection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4" fillId="5" borderId="19" xfId="5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4" borderId="20" xfId="4" applyFont="1" applyBorder="1" applyAlignment="1">
      <alignment horizontal="center"/>
    </xf>
    <xf numFmtId="0" fontId="9" fillId="2" borderId="18" xfId="2" applyFont="1" applyBorder="1" applyAlignment="1">
      <alignment horizontal="center"/>
    </xf>
    <xf numFmtId="0" fontId="9" fillId="2" borderId="9" xfId="2" applyFont="1" applyBorder="1" applyAlignment="1">
      <alignment horizontal="center"/>
    </xf>
    <xf numFmtId="0" fontId="9" fillId="2" borderId="10" xfId="2" applyFont="1" applyBorder="1" applyAlignment="1">
      <alignment horizontal="center"/>
    </xf>
    <xf numFmtId="0" fontId="1" fillId="5" borderId="11" xfId="5" applyFont="1" applyBorder="1" applyAlignment="1">
      <alignment horizontal="center"/>
    </xf>
    <xf numFmtId="0" fontId="1" fillId="5" borderId="1" xfId="5" applyFont="1" applyBorder="1" applyAlignment="1">
      <alignment horizontal="center"/>
    </xf>
    <xf numFmtId="164" fontId="1" fillId="5" borderId="1" xfId="5" applyNumberFormat="1" applyFont="1" applyBorder="1" applyAlignment="1">
      <alignment horizontal="center"/>
    </xf>
    <xf numFmtId="164" fontId="1" fillId="5" borderId="3" xfId="5" applyNumberFormat="1" applyFont="1" applyBorder="1" applyAlignment="1">
      <alignment horizontal="center"/>
    </xf>
    <xf numFmtId="164" fontId="1" fillId="5" borderId="11" xfId="5" applyNumberFormat="1" applyFont="1" applyBorder="1" applyAlignment="1">
      <alignment horizontal="center"/>
    </xf>
    <xf numFmtId="0" fontId="1" fillId="5" borderId="17" xfId="5" applyFont="1" applyBorder="1" applyAlignment="1">
      <alignment horizontal="center"/>
    </xf>
    <xf numFmtId="164" fontId="1" fillId="5" borderId="4" xfId="5" applyNumberFormat="1" applyFont="1" applyBorder="1" applyAlignment="1">
      <alignment horizontal="center"/>
    </xf>
    <xf numFmtId="164" fontId="1" fillId="5" borderId="5" xfId="5" applyNumberFormat="1" applyFont="1" applyBorder="1" applyAlignment="1">
      <alignment horizontal="center"/>
    </xf>
    <xf numFmtId="0" fontId="1" fillId="5" borderId="2" xfId="5" applyFont="1" applyBorder="1" applyAlignment="1">
      <alignment horizontal="center"/>
    </xf>
    <xf numFmtId="0" fontId="1" fillId="5" borderId="3" xfId="5" applyFont="1" applyBorder="1" applyAlignment="1">
      <alignment horizontal="center"/>
    </xf>
    <xf numFmtId="0" fontId="1" fillId="5" borderId="27" xfId="5" applyFont="1" applyBorder="1" applyAlignment="1">
      <alignment horizontal="center"/>
    </xf>
    <xf numFmtId="0" fontId="1" fillId="5" borderId="5" xfId="5" applyFont="1" applyBorder="1" applyAlignment="1">
      <alignment horizontal="center"/>
    </xf>
    <xf numFmtId="0" fontId="1" fillId="5" borderId="28" xfId="5" applyFont="1" applyBorder="1" applyAlignment="1">
      <alignment horizontal="center" vertical="center"/>
    </xf>
    <xf numFmtId="0" fontId="1" fillId="5" borderId="25" xfId="5" applyFont="1" applyBorder="1" applyAlignment="1">
      <alignment horizontal="center" vertical="center"/>
    </xf>
    <xf numFmtId="0" fontId="1" fillId="5" borderId="26" xfId="5" applyFont="1" applyBorder="1" applyAlignment="1">
      <alignment horizontal="center" vertical="center"/>
    </xf>
    <xf numFmtId="0" fontId="1" fillId="5" borderId="11" xfId="5" applyFont="1" applyBorder="1" applyAlignment="1">
      <alignment horizontal="center" vertical="center"/>
    </xf>
    <xf numFmtId="0" fontId="1" fillId="5" borderId="1" xfId="5" applyFont="1" applyBorder="1" applyAlignment="1">
      <alignment horizontal="center" vertical="center"/>
    </xf>
    <xf numFmtId="0" fontId="1" fillId="5" borderId="3" xfId="5" applyFont="1" applyBorder="1" applyAlignment="1">
      <alignment horizontal="center" vertical="center"/>
    </xf>
    <xf numFmtId="0" fontId="1" fillId="5" borderId="17" xfId="5" applyFont="1" applyBorder="1" applyAlignment="1">
      <alignment horizontal="center" vertical="center"/>
    </xf>
    <xf numFmtId="0" fontId="1" fillId="5" borderId="4" xfId="5" applyFont="1" applyBorder="1" applyAlignment="1">
      <alignment horizontal="center" vertical="center"/>
    </xf>
    <xf numFmtId="0" fontId="1" fillId="5" borderId="5" xfId="5" applyFont="1" applyBorder="1" applyAlignment="1">
      <alignment horizontal="center" vertical="center"/>
    </xf>
    <xf numFmtId="0" fontId="8" fillId="4" borderId="20" xfId="4" applyFont="1" applyBorder="1" applyAlignment="1">
      <alignment horizontal="center" vertical="center"/>
    </xf>
    <xf numFmtId="0" fontId="1" fillId="5" borderId="18" xfId="5" applyFont="1" applyBorder="1" applyAlignment="1">
      <alignment horizontal="center" vertical="center"/>
    </xf>
    <xf numFmtId="0" fontId="1" fillId="5" borderId="9" xfId="5" applyFont="1" applyBorder="1" applyAlignment="1">
      <alignment horizontal="center" vertical="center"/>
    </xf>
    <xf numFmtId="0" fontId="1" fillId="5" borderId="10" xfId="5" applyFont="1" applyBorder="1" applyAlignment="1">
      <alignment horizontal="center" vertical="center"/>
    </xf>
    <xf numFmtId="0" fontId="1" fillId="5" borderId="4" xfId="5" applyFont="1" applyBorder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2" fillId="3" borderId="0" xfId="3" applyFont="1"/>
    <xf numFmtId="0" fontId="9" fillId="2" borderId="0" xfId="2" applyFont="1"/>
    <xf numFmtId="164" fontId="1" fillId="0" borderId="0" xfId="0" applyNumberFormat="1" applyFont="1"/>
    <xf numFmtId="2" fontId="1" fillId="5" borderId="1" xfId="5" applyNumberFormat="1" applyFont="1" applyBorder="1" applyAlignment="1">
      <alignment horizontal="center"/>
    </xf>
    <xf numFmtId="0" fontId="1" fillId="5" borderId="29" xfId="5" applyFont="1" applyBorder="1" applyAlignment="1">
      <alignment horizontal="center"/>
    </xf>
    <xf numFmtId="0" fontId="1" fillId="5" borderId="10" xfId="5" applyFont="1" applyBorder="1" applyAlignment="1">
      <alignment horizontal="center"/>
    </xf>
    <xf numFmtId="0" fontId="1" fillId="5" borderId="16" xfId="5" applyFont="1" applyBorder="1" applyAlignment="1">
      <alignment horizontal="center"/>
    </xf>
    <xf numFmtId="0" fontId="1" fillId="5" borderId="21" xfId="5" applyFont="1" applyBorder="1" applyAlignment="1">
      <alignment horizontal="center"/>
    </xf>
    <xf numFmtId="0" fontId="8" fillId="4" borderId="2" xfId="4" applyFont="1" applyBorder="1" applyAlignment="1">
      <alignment horizontal="center" vertical="center"/>
    </xf>
    <xf numFmtId="0" fontId="8" fillId="4" borderId="27" xfId="4" applyFont="1" applyBorder="1" applyAlignment="1">
      <alignment horizontal="center" vertical="center"/>
    </xf>
    <xf numFmtId="0" fontId="8" fillId="4" borderId="24" xfId="4" applyFont="1" applyBorder="1" applyAlignment="1">
      <alignment horizontal="center" vertical="center"/>
    </xf>
    <xf numFmtId="0" fontId="1" fillId="5" borderId="18" xfId="5" applyFont="1" applyBorder="1" applyAlignment="1">
      <alignment horizontal="center"/>
    </xf>
    <xf numFmtId="0" fontId="8" fillId="4" borderId="15" xfId="4" applyFont="1" applyBorder="1" applyAlignment="1">
      <alignment horizontal="center" vertical="center"/>
    </xf>
    <xf numFmtId="0" fontId="1" fillId="5" borderId="9" xfId="5" applyFont="1" applyBorder="1" applyAlignment="1">
      <alignment horizontal="center"/>
    </xf>
    <xf numFmtId="0" fontId="2" fillId="0" borderId="0" xfId="1"/>
    <xf numFmtId="0" fontId="1" fillId="5" borderId="31" xfId="5" applyFont="1" applyBorder="1" applyAlignment="1">
      <alignment horizontal="center"/>
    </xf>
    <xf numFmtId="0" fontId="1" fillId="5" borderId="30" xfId="5" applyFont="1" applyBorder="1" applyAlignment="1">
      <alignment horizontal="center"/>
    </xf>
    <xf numFmtId="0" fontId="1" fillId="5" borderId="34" xfId="5" applyFont="1" applyBorder="1" applyAlignment="1">
      <alignment horizontal="center"/>
    </xf>
    <xf numFmtId="0" fontId="1" fillId="5" borderId="35" xfId="5" applyFont="1" applyBorder="1" applyAlignment="1">
      <alignment horizontal="center"/>
    </xf>
    <xf numFmtId="0" fontId="1" fillId="5" borderId="14" xfId="5" applyFont="1" applyBorder="1" applyAlignment="1">
      <alignment horizontal="center"/>
    </xf>
    <xf numFmtId="0" fontId="1" fillId="5" borderId="3" xfId="5" applyFont="1" applyBorder="1" applyAlignment="1">
      <alignment horizontal="center"/>
    </xf>
    <xf numFmtId="0" fontId="1" fillId="5" borderId="5" xfId="5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8" fillId="4" borderId="22" xfId="4" applyFont="1" applyBorder="1" applyAlignment="1">
      <alignment horizontal="center"/>
    </xf>
    <xf numFmtId="0" fontId="8" fillId="4" borderId="23" xfId="4" applyFont="1" applyBorder="1" applyAlignment="1">
      <alignment horizontal="center"/>
    </xf>
    <xf numFmtId="0" fontId="1" fillId="0" borderId="0" xfId="1" applyFont="1"/>
    <xf numFmtId="0" fontId="1" fillId="5" borderId="36" xfId="5" applyFont="1" applyBorder="1" applyAlignment="1">
      <alignment horizontal="center"/>
    </xf>
    <xf numFmtId="0" fontId="1" fillId="5" borderId="15" xfId="5" applyFont="1" applyBorder="1" applyAlignment="1">
      <alignment horizontal="center"/>
    </xf>
    <xf numFmtId="164" fontId="1" fillId="5" borderId="9" xfId="5" applyNumberFormat="1" applyFont="1" applyBorder="1" applyAlignment="1">
      <alignment horizontal="center"/>
    </xf>
    <xf numFmtId="0" fontId="15" fillId="6" borderId="20" xfId="6" applyFont="1" applyBorder="1" applyAlignment="1">
      <alignment horizontal="center"/>
    </xf>
    <xf numFmtId="0" fontId="1" fillId="5" borderId="3" xfId="5" applyFont="1" applyBorder="1" applyAlignment="1">
      <alignment horizontal="center"/>
    </xf>
    <xf numFmtId="0" fontId="1" fillId="5" borderId="5" xfId="5" applyFont="1" applyBorder="1" applyAlignment="1">
      <alignment horizontal="center"/>
    </xf>
    <xf numFmtId="0" fontId="1" fillId="5" borderId="3" xfId="5" applyFont="1" applyBorder="1" applyAlignment="1">
      <alignment horizontal="center"/>
    </xf>
    <xf numFmtId="0" fontId="1" fillId="5" borderId="17" xfId="5" applyFont="1" applyBorder="1" applyAlignment="1">
      <alignment horizontal="center"/>
    </xf>
    <xf numFmtId="0" fontId="1" fillId="5" borderId="5" xfId="5" applyFont="1" applyBorder="1" applyAlignment="1">
      <alignment horizontal="center"/>
    </xf>
    <xf numFmtId="0" fontId="8" fillId="4" borderId="12" xfId="4" applyFont="1" applyBorder="1" applyAlignment="1">
      <alignment horizontal="center"/>
    </xf>
    <xf numFmtId="0" fontId="8" fillId="4" borderId="13" xfId="4" applyFont="1" applyBorder="1" applyAlignment="1">
      <alignment horizontal="center"/>
    </xf>
    <xf numFmtId="0" fontId="8" fillId="4" borderId="6" xfId="4" applyFont="1" applyBorder="1" applyAlignment="1">
      <alignment horizontal="center"/>
    </xf>
    <xf numFmtId="0" fontId="8" fillId="4" borderId="7" xfId="4" applyFont="1" applyBorder="1" applyAlignment="1">
      <alignment horizontal="center"/>
    </xf>
    <xf numFmtId="0" fontId="8" fillId="4" borderId="8" xfId="4" applyFont="1" applyBorder="1" applyAlignment="1">
      <alignment horizontal="center"/>
    </xf>
    <xf numFmtId="0" fontId="8" fillId="4" borderId="24" xfId="4" applyFont="1" applyBorder="1" applyAlignment="1">
      <alignment horizontal="center"/>
    </xf>
    <xf numFmtId="0" fontId="8" fillId="4" borderId="25" xfId="4" applyFont="1" applyBorder="1" applyAlignment="1">
      <alignment horizontal="center"/>
    </xf>
    <xf numFmtId="0" fontId="8" fillId="4" borderId="26" xfId="4" applyFont="1" applyBorder="1" applyAlignment="1">
      <alignment horizontal="center"/>
    </xf>
    <xf numFmtId="0" fontId="8" fillId="4" borderId="27" xfId="4" applyFont="1" applyBorder="1" applyAlignment="1">
      <alignment horizontal="center"/>
    </xf>
    <xf numFmtId="0" fontId="8" fillId="4" borderId="4" xfId="4" applyFont="1" applyBorder="1" applyAlignment="1">
      <alignment horizontal="center"/>
    </xf>
    <xf numFmtId="0" fontId="8" fillId="4" borderId="5" xfId="4" applyFont="1" applyBorder="1" applyAlignment="1">
      <alignment horizontal="center"/>
    </xf>
    <xf numFmtId="0" fontId="8" fillId="4" borderId="32" xfId="4" applyFont="1" applyBorder="1" applyAlignment="1">
      <alignment horizontal="center"/>
    </xf>
    <xf numFmtId="0" fontId="8" fillId="4" borderId="33" xfId="4" applyFont="1" applyBorder="1" applyAlignment="1">
      <alignment horizontal="center"/>
    </xf>
    <xf numFmtId="0" fontId="8" fillId="4" borderId="6" xfId="4" applyFont="1" applyBorder="1" applyAlignment="1">
      <alignment horizontal="center" vertical="center"/>
    </xf>
    <xf numFmtId="0" fontId="8" fillId="4" borderId="7" xfId="4" applyFont="1" applyBorder="1" applyAlignment="1">
      <alignment horizontal="center" vertical="center"/>
    </xf>
    <xf numFmtId="0" fontId="8" fillId="4" borderId="8" xfId="4" applyFont="1" applyBorder="1" applyAlignment="1">
      <alignment horizontal="center" vertical="center"/>
    </xf>
    <xf numFmtId="0" fontId="8" fillId="4" borderId="12" xfId="4" applyFont="1" applyBorder="1" applyAlignment="1">
      <alignment horizontal="center" vertical="center"/>
    </xf>
    <xf numFmtId="0" fontId="8" fillId="4" borderId="13" xfId="4" applyFont="1" applyBorder="1" applyAlignment="1">
      <alignment horizontal="center" vertical="center"/>
    </xf>
    <xf numFmtId="0" fontId="1" fillId="5" borderId="11" xfId="5" applyFont="1" applyBorder="1" applyAlignment="1">
      <alignment horizontal="center"/>
    </xf>
    <xf numFmtId="0" fontId="1" fillId="5" borderId="3" xfId="5" applyFont="1" applyBorder="1" applyAlignment="1">
      <alignment horizontal="center"/>
    </xf>
    <xf numFmtId="0" fontId="1" fillId="5" borderId="17" xfId="5" applyFont="1" applyBorder="1" applyAlignment="1">
      <alignment horizontal="center"/>
    </xf>
    <xf numFmtId="0" fontId="1" fillId="5" borderId="5" xfId="5" applyFont="1" applyBorder="1" applyAlignment="1">
      <alignment horizontal="center"/>
    </xf>
    <xf numFmtId="0" fontId="1" fillId="5" borderId="28" xfId="5" applyFont="1" applyBorder="1" applyAlignment="1">
      <alignment horizontal="center"/>
    </xf>
    <xf numFmtId="0" fontId="1" fillId="5" borderId="26" xfId="5" applyFont="1" applyBorder="1" applyAlignment="1">
      <alignment horizontal="center"/>
    </xf>
  </cellXfs>
  <cellStyles count="7">
    <cellStyle name="20% - Accent4" xfId="5" builtinId="42"/>
    <cellStyle name="Bun" xfId="3" builtinId="26"/>
    <cellStyle name="Eronat" xfId="2" builtinId="27"/>
    <cellStyle name="Intrare" xfId="4" builtinId="20"/>
    <cellStyle name="Normal" xfId="0" builtinId="0"/>
    <cellStyle name="Normal 2" xfId="1" xr:uid="{6ACB05AC-59BC-497E-A236-B7A2A97684E3}"/>
    <cellStyle name="Verificare celulă" xfId="6" builtinId="23"/>
  </cellStyles>
  <dxfs count="0"/>
  <tableStyles count="1" defaultTableStyle="TableStyleMedium2" defaultPivotStyle="PivotStyleLight16">
    <tableStyle name="Stil tabel 1" pivot="0" count="0" xr9:uid="{F1521B50-8CAE-41B7-88D1-D0E322E80A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BE1D-5059-4FAA-82FE-350002321843}">
  <dimension ref="A1:F9"/>
  <sheetViews>
    <sheetView workbookViewId="0">
      <selection activeCell="I17" sqref="I17"/>
    </sheetView>
  </sheetViews>
  <sheetFormatPr defaultRowHeight="15" x14ac:dyDescent="0.25"/>
  <cols>
    <col min="1" max="5" width="9.140625" style="35"/>
    <col min="6" max="6" width="14.85546875" style="35" customWidth="1"/>
    <col min="7" max="16384" width="9.140625" style="35"/>
  </cols>
  <sheetData>
    <row r="1" spans="1:6" x14ac:dyDescent="0.25">
      <c r="A1" s="79" t="s">
        <v>47</v>
      </c>
      <c r="B1" s="80"/>
      <c r="C1" s="80"/>
      <c r="D1" s="81"/>
      <c r="E1" s="74" t="s">
        <v>46</v>
      </c>
      <c r="F1" s="74" t="s">
        <v>89</v>
      </c>
    </row>
    <row r="2" spans="1:6" ht="15.75" thickBot="1" x14ac:dyDescent="0.3">
      <c r="A2" s="82"/>
      <c r="B2" s="83"/>
      <c r="C2" s="83"/>
      <c r="D2" s="84"/>
      <c r="E2" s="75"/>
      <c r="F2" s="75"/>
    </row>
    <row r="3" spans="1:6" ht="15.75" thickBot="1" x14ac:dyDescent="0.3">
      <c r="A3" s="76" t="s">
        <v>45</v>
      </c>
      <c r="B3" s="77"/>
      <c r="C3" s="77"/>
      <c r="D3" s="78"/>
      <c r="E3" s="49" t="s">
        <v>44</v>
      </c>
      <c r="F3" s="43">
        <v>185</v>
      </c>
    </row>
    <row r="4" spans="1:6" ht="15.75" thickBot="1" x14ac:dyDescent="0.3">
      <c r="A4" s="76" t="s">
        <v>43</v>
      </c>
      <c r="B4" s="77"/>
      <c r="C4" s="77"/>
      <c r="D4" s="78"/>
      <c r="E4" s="9" t="s">
        <v>42</v>
      </c>
      <c r="F4" s="18">
        <v>32</v>
      </c>
    </row>
    <row r="5" spans="1:6" ht="15.75" thickBot="1" x14ac:dyDescent="0.3">
      <c r="A5" s="76" t="s">
        <v>41</v>
      </c>
      <c r="B5" s="77"/>
      <c r="C5" s="77"/>
      <c r="D5" s="78"/>
      <c r="E5" s="9" t="s">
        <v>40</v>
      </c>
      <c r="F5" s="18">
        <v>20.100000000000001</v>
      </c>
    </row>
    <row r="6" spans="1:6" ht="15.75" thickBot="1" x14ac:dyDescent="0.3">
      <c r="A6" s="76" t="s">
        <v>39</v>
      </c>
      <c r="B6" s="77"/>
      <c r="C6" s="77"/>
      <c r="D6" s="78"/>
      <c r="E6" s="9" t="s">
        <v>38</v>
      </c>
      <c r="F6" s="18">
        <v>9</v>
      </c>
    </row>
    <row r="7" spans="1:6" ht="15.75" thickBot="1" x14ac:dyDescent="0.3">
      <c r="A7" s="76" t="s">
        <v>37</v>
      </c>
      <c r="B7" s="77"/>
      <c r="C7" s="77"/>
      <c r="D7" s="78"/>
      <c r="E7" s="9" t="s">
        <v>36</v>
      </c>
      <c r="F7" s="18" t="s">
        <v>35</v>
      </c>
    </row>
    <row r="8" spans="1:6" ht="15.75" thickBot="1" x14ac:dyDescent="0.3">
      <c r="A8" s="76" t="s">
        <v>34</v>
      </c>
      <c r="B8" s="77"/>
      <c r="C8" s="77"/>
      <c r="D8" s="78"/>
      <c r="E8" s="9" t="s">
        <v>33</v>
      </c>
      <c r="F8" s="18" t="s">
        <v>32</v>
      </c>
    </row>
    <row r="9" spans="1:6" ht="15.75" thickBot="1" x14ac:dyDescent="0.3">
      <c r="A9" s="76" t="s">
        <v>31</v>
      </c>
      <c r="B9" s="77"/>
      <c r="C9" s="77"/>
      <c r="D9" s="78"/>
      <c r="E9" s="14" t="s">
        <v>30</v>
      </c>
      <c r="F9" s="20" t="s">
        <v>29</v>
      </c>
    </row>
  </sheetData>
  <mergeCells count="10">
    <mergeCell ref="E1:E2"/>
    <mergeCell ref="F1:F2"/>
    <mergeCell ref="A9:D9"/>
    <mergeCell ref="A8:D8"/>
    <mergeCell ref="A7:D7"/>
    <mergeCell ref="A6:D6"/>
    <mergeCell ref="A1:D2"/>
    <mergeCell ref="A3:D3"/>
    <mergeCell ref="A4:D4"/>
    <mergeCell ref="A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A03D-9C8B-4900-8CB9-A8EB79A179C5}">
  <dimension ref="A1:H23"/>
  <sheetViews>
    <sheetView workbookViewId="0">
      <selection activeCell="J26" sqref="J26"/>
    </sheetView>
  </sheetViews>
  <sheetFormatPr defaultRowHeight="15" x14ac:dyDescent="0.25"/>
  <cols>
    <col min="1" max="16384" width="9.140625" style="35"/>
  </cols>
  <sheetData>
    <row r="1" spans="1:8" ht="15.75" thickBot="1" x14ac:dyDescent="0.3">
      <c r="A1" s="76" t="s">
        <v>28</v>
      </c>
      <c r="B1" s="78"/>
      <c r="C1" s="4"/>
      <c r="D1" s="85" t="s">
        <v>27</v>
      </c>
      <c r="E1" s="86"/>
      <c r="F1" s="4"/>
      <c r="G1" s="85" t="s">
        <v>26</v>
      </c>
      <c r="H1" s="86"/>
    </row>
    <row r="2" spans="1:8" ht="15.75" thickBot="1" x14ac:dyDescent="0.3">
      <c r="A2" s="5" t="s">
        <v>23</v>
      </c>
      <c r="B2" s="5" t="s">
        <v>25</v>
      </c>
      <c r="C2" s="4"/>
      <c r="D2" s="5" t="s">
        <v>23</v>
      </c>
      <c r="E2" s="5" t="s">
        <v>24</v>
      </c>
      <c r="F2" s="4"/>
      <c r="G2" s="5" t="s">
        <v>23</v>
      </c>
      <c r="H2" s="5" t="s">
        <v>22</v>
      </c>
    </row>
    <row r="3" spans="1:8" x14ac:dyDescent="0.25">
      <c r="A3" s="42">
        <v>0</v>
      </c>
      <c r="B3" s="43">
        <v>-92.5</v>
      </c>
      <c r="C3" s="4"/>
      <c r="D3" s="42">
        <v>0</v>
      </c>
      <c r="E3" s="43">
        <v>0</v>
      </c>
      <c r="F3" s="4"/>
      <c r="G3" s="42">
        <v>0</v>
      </c>
      <c r="H3" s="43">
        <v>0</v>
      </c>
    </row>
    <row r="4" spans="1:8" x14ac:dyDescent="0.25">
      <c r="A4" s="17">
        <v>1</v>
      </c>
      <c r="B4" s="18">
        <f t="shared" ref="B4:B23" si="0">B3+9.25</f>
        <v>-83.25</v>
      </c>
      <c r="C4" s="4"/>
      <c r="D4" s="17">
        <v>1</v>
      </c>
      <c r="E4" s="18">
        <v>1</v>
      </c>
      <c r="F4" s="4"/>
      <c r="G4" s="17">
        <v>1</v>
      </c>
      <c r="H4" s="18">
        <v>4</v>
      </c>
    </row>
    <row r="5" spans="1:8" x14ac:dyDescent="0.25">
      <c r="A5" s="17">
        <v>2</v>
      </c>
      <c r="B5" s="18">
        <f t="shared" si="0"/>
        <v>-74</v>
      </c>
      <c r="C5" s="4"/>
      <c r="D5" s="17">
        <v>2</v>
      </c>
      <c r="E5" s="18">
        <v>2</v>
      </c>
      <c r="F5" s="4"/>
      <c r="G5" s="17">
        <v>2</v>
      </c>
      <c r="H5" s="18">
        <v>8</v>
      </c>
    </row>
    <row r="6" spans="1:8" x14ac:dyDescent="0.25">
      <c r="A6" s="17">
        <v>3</v>
      </c>
      <c r="B6" s="18">
        <f t="shared" si="0"/>
        <v>-64.75</v>
      </c>
      <c r="C6" s="4"/>
      <c r="D6" s="17">
        <v>3</v>
      </c>
      <c r="E6" s="18">
        <v>3</v>
      </c>
      <c r="F6" s="4"/>
      <c r="G6" s="17">
        <v>3</v>
      </c>
      <c r="H6" s="18">
        <v>12</v>
      </c>
    </row>
    <row r="7" spans="1:8" ht="15.75" thickBot="1" x14ac:dyDescent="0.3">
      <c r="A7" s="17">
        <v>4</v>
      </c>
      <c r="B7" s="18">
        <f t="shared" si="0"/>
        <v>-55.5</v>
      </c>
      <c r="C7" s="4"/>
      <c r="D7" s="17">
        <v>4</v>
      </c>
      <c r="E7" s="18">
        <v>4</v>
      </c>
      <c r="F7" s="4"/>
      <c r="G7" s="19">
        <v>4</v>
      </c>
      <c r="H7" s="20">
        <v>16</v>
      </c>
    </row>
    <row r="8" spans="1:8" x14ac:dyDescent="0.25">
      <c r="A8" s="17">
        <v>5</v>
      </c>
      <c r="B8" s="18">
        <f t="shared" si="0"/>
        <v>-46.25</v>
      </c>
      <c r="C8" s="4"/>
      <c r="D8" s="17">
        <v>5</v>
      </c>
      <c r="E8" s="18">
        <v>5</v>
      </c>
      <c r="F8" s="4"/>
      <c r="G8" s="4"/>
      <c r="H8" s="4"/>
    </row>
    <row r="9" spans="1:8" x14ac:dyDescent="0.25">
      <c r="A9" s="17">
        <v>6</v>
      </c>
      <c r="B9" s="18">
        <f t="shared" si="0"/>
        <v>-37</v>
      </c>
      <c r="C9" s="4"/>
      <c r="D9" s="17">
        <v>6</v>
      </c>
      <c r="E9" s="18">
        <v>6</v>
      </c>
      <c r="F9" s="4"/>
      <c r="G9" s="4"/>
      <c r="H9" s="4"/>
    </row>
    <row r="10" spans="1:8" x14ac:dyDescent="0.25">
      <c r="A10" s="17">
        <v>7</v>
      </c>
      <c r="B10" s="18">
        <f t="shared" si="0"/>
        <v>-27.75</v>
      </c>
      <c r="C10" s="4"/>
      <c r="D10" s="17">
        <v>7</v>
      </c>
      <c r="E10" s="18">
        <v>7</v>
      </c>
      <c r="F10" s="4"/>
      <c r="G10" s="4"/>
      <c r="H10" s="4"/>
    </row>
    <row r="11" spans="1:8" x14ac:dyDescent="0.25">
      <c r="A11" s="17">
        <v>8</v>
      </c>
      <c r="B11" s="18">
        <f t="shared" si="0"/>
        <v>-18.5</v>
      </c>
      <c r="C11" s="4"/>
      <c r="D11" s="17">
        <v>8</v>
      </c>
      <c r="E11" s="18">
        <v>8</v>
      </c>
      <c r="F11" s="4"/>
      <c r="G11" s="4"/>
      <c r="H11" s="4"/>
    </row>
    <row r="12" spans="1:8" x14ac:dyDescent="0.25">
      <c r="A12" s="17">
        <v>9</v>
      </c>
      <c r="B12" s="18">
        <f t="shared" si="0"/>
        <v>-9.25</v>
      </c>
      <c r="C12" s="4"/>
      <c r="D12" s="17">
        <v>9</v>
      </c>
      <c r="E12" s="18">
        <v>9</v>
      </c>
      <c r="F12" s="4"/>
      <c r="G12" s="4"/>
      <c r="H12" s="4"/>
    </row>
    <row r="13" spans="1:8" x14ac:dyDescent="0.25">
      <c r="A13" s="17">
        <v>10</v>
      </c>
      <c r="B13" s="18">
        <f t="shared" si="0"/>
        <v>0</v>
      </c>
      <c r="C13" s="4"/>
      <c r="D13" s="17">
        <v>10</v>
      </c>
      <c r="E13" s="18">
        <v>10</v>
      </c>
      <c r="F13" s="4"/>
      <c r="G13" s="4"/>
      <c r="H13" s="4"/>
    </row>
    <row r="14" spans="1:8" x14ac:dyDescent="0.25">
      <c r="A14" s="17">
        <v>11</v>
      </c>
      <c r="B14" s="18">
        <f t="shared" si="0"/>
        <v>9.25</v>
      </c>
      <c r="C14" s="4"/>
      <c r="D14" s="17">
        <v>11</v>
      </c>
      <c r="E14" s="18">
        <v>11</v>
      </c>
      <c r="F14" s="4"/>
      <c r="G14" s="4"/>
      <c r="H14" s="4"/>
    </row>
    <row r="15" spans="1:8" x14ac:dyDescent="0.25">
      <c r="A15" s="17">
        <v>12</v>
      </c>
      <c r="B15" s="18">
        <f t="shared" si="0"/>
        <v>18.5</v>
      </c>
      <c r="C15" s="4"/>
      <c r="D15" s="17">
        <v>12</v>
      </c>
      <c r="E15" s="18">
        <v>12</v>
      </c>
      <c r="F15" s="4"/>
      <c r="G15" s="4"/>
      <c r="H15" s="4"/>
    </row>
    <row r="16" spans="1:8" x14ac:dyDescent="0.25">
      <c r="A16" s="17">
        <v>13</v>
      </c>
      <c r="B16" s="18">
        <f t="shared" si="0"/>
        <v>27.75</v>
      </c>
      <c r="C16" s="4"/>
      <c r="D16" s="17">
        <v>13</v>
      </c>
      <c r="E16" s="18">
        <v>13</v>
      </c>
      <c r="F16" s="4"/>
      <c r="G16" s="4"/>
      <c r="H16" s="4"/>
    </row>
    <row r="17" spans="1:8" x14ac:dyDescent="0.25">
      <c r="A17" s="17">
        <v>14</v>
      </c>
      <c r="B17" s="18">
        <f t="shared" si="0"/>
        <v>37</v>
      </c>
      <c r="C17" s="4"/>
      <c r="D17" s="17">
        <v>14</v>
      </c>
      <c r="E17" s="18">
        <v>14</v>
      </c>
      <c r="F17" s="4"/>
      <c r="G17" s="4"/>
      <c r="H17" s="4"/>
    </row>
    <row r="18" spans="1:8" x14ac:dyDescent="0.25">
      <c r="A18" s="17">
        <v>15</v>
      </c>
      <c r="B18" s="18">
        <f t="shared" si="0"/>
        <v>46.25</v>
      </c>
      <c r="C18" s="4"/>
      <c r="D18" s="17">
        <v>15</v>
      </c>
      <c r="E18" s="18">
        <v>15</v>
      </c>
      <c r="F18" s="4"/>
      <c r="G18" s="4"/>
      <c r="H18" s="4"/>
    </row>
    <row r="19" spans="1:8" x14ac:dyDescent="0.25">
      <c r="A19" s="17">
        <v>16</v>
      </c>
      <c r="B19" s="18">
        <f t="shared" si="0"/>
        <v>55.5</v>
      </c>
      <c r="C19" s="4"/>
      <c r="D19" s="17">
        <v>16</v>
      </c>
      <c r="E19" s="18">
        <v>16</v>
      </c>
      <c r="F19" s="4"/>
      <c r="G19" s="4"/>
      <c r="H19" s="4"/>
    </row>
    <row r="20" spans="1:8" x14ac:dyDescent="0.25">
      <c r="A20" s="17">
        <v>17</v>
      </c>
      <c r="B20" s="18">
        <f t="shared" si="0"/>
        <v>64.75</v>
      </c>
      <c r="C20" s="4"/>
      <c r="D20" s="17">
        <v>17</v>
      </c>
      <c r="E20" s="18">
        <v>17</v>
      </c>
      <c r="F20" s="4"/>
      <c r="G20" s="4"/>
      <c r="H20" s="4"/>
    </row>
    <row r="21" spans="1:8" x14ac:dyDescent="0.25">
      <c r="A21" s="17">
        <v>18</v>
      </c>
      <c r="B21" s="18">
        <f t="shared" si="0"/>
        <v>74</v>
      </c>
      <c r="C21" s="4"/>
      <c r="D21" s="17">
        <v>18</v>
      </c>
      <c r="E21" s="18">
        <v>18</v>
      </c>
      <c r="F21" s="4"/>
      <c r="G21" s="4"/>
      <c r="H21" s="4"/>
    </row>
    <row r="22" spans="1:8" x14ac:dyDescent="0.25">
      <c r="A22" s="17">
        <v>19</v>
      </c>
      <c r="B22" s="18">
        <f t="shared" si="0"/>
        <v>83.25</v>
      </c>
      <c r="C22" s="4"/>
      <c r="D22" s="17">
        <v>19</v>
      </c>
      <c r="E22" s="18">
        <v>19</v>
      </c>
      <c r="F22" s="4"/>
      <c r="G22" s="4"/>
      <c r="H22" s="4"/>
    </row>
    <row r="23" spans="1:8" ht="15.75" thickBot="1" x14ac:dyDescent="0.3">
      <c r="A23" s="19">
        <v>20</v>
      </c>
      <c r="B23" s="20">
        <f t="shared" si="0"/>
        <v>92.5</v>
      </c>
      <c r="C23" s="4"/>
      <c r="D23" s="19">
        <v>20</v>
      </c>
      <c r="E23" s="20">
        <v>20</v>
      </c>
      <c r="F23" s="4"/>
      <c r="G23" s="4"/>
      <c r="H23" s="4"/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7DBE-5868-4885-8CBD-BD10C4CD89F8}">
  <dimension ref="A1:AO23"/>
  <sheetViews>
    <sheetView zoomScaleNormal="100" workbookViewId="0">
      <selection activeCell="X28" sqref="X28"/>
    </sheetView>
  </sheetViews>
  <sheetFormatPr defaultRowHeight="15" x14ac:dyDescent="0.25"/>
  <cols>
    <col min="1" max="1" width="9.28515625" style="35" bestFit="1" customWidth="1"/>
    <col min="2" max="22" width="9.5703125" style="35" bestFit="1" customWidth="1"/>
    <col min="23" max="16384" width="9.140625" style="35"/>
  </cols>
  <sheetData>
    <row r="1" spans="1:41" ht="15.75" thickBot="1" x14ac:dyDescent="0.3">
      <c r="A1" s="5" t="s">
        <v>8</v>
      </c>
      <c r="B1" s="5">
        <v>0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>
        <v>19</v>
      </c>
      <c r="V1" s="5">
        <v>20</v>
      </c>
    </row>
    <row r="2" spans="1:41" ht="15.75" thickBot="1" x14ac:dyDescent="0.3">
      <c r="A2" s="5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spans="1:41" ht="15.75" thickBot="1" x14ac:dyDescent="0.3">
      <c r="A3" s="5">
        <v>0</v>
      </c>
      <c r="B3" s="9"/>
      <c r="C3" s="10"/>
      <c r="D3" s="10"/>
      <c r="E3" s="10"/>
      <c r="F3" s="10"/>
      <c r="G3" s="10"/>
      <c r="H3" s="10"/>
      <c r="I3" s="10"/>
      <c r="J3" s="10"/>
      <c r="K3" s="11">
        <v>2.0644</v>
      </c>
      <c r="L3" s="11">
        <v>8.5967000000000002</v>
      </c>
      <c r="M3" s="11">
        <v>11.882</v>
      </c>
      <c r="N3" s="11">
        <v>13.646000000000001</v>
      </c>
      <c r="O3" s="11">
        <v>14.792</v>
      </c>
      <c r="P3" s="11">
        <v>15.541</v>
      </c>
      <c r="Q3" s="11">
        <v>15.946999999999999</v>
      </c>
      <c r="R3" s="11">
        <v>16</v>
      </c>
      <c r="S3" s="11">
        <v>16</v>
      </c>
      <c r="T3" s="11">
        <v>16</v>
      </c>
      <c r="U3" s="11">
        <v>16</v>
      </c>
      <c r="V3" s="12">
        <v>16</v>
      </c>
    </row>
    <row r="4" spans="1:41" ht="15.75" thickBot="1" x14ac:dyDescent="0.3">
      <c r="A4" s="5">
        <v>1</v>
      </c>
      <c r="B4" s="9"/>
      <c r="C4" s="11">
        <v>0.88244999999999996</v>
      </c>
      <c r="D4" s="11">
        <v>1.1774</v>
      </c>
      <c r="E4" s="11">
        <v>1.0182</v>
      </c>
      <c r="F4" s="11">
        <v>0.74592000000000003</v>
      </c>
      <c r="G4" s="11">
        <v>0.62233000000000005</v>
      </c>
      <c r="H4" s="11">
        <v>0.78027999999999997</v>
      </c>
      <c r="I4" s="11">
        <v>1.4368000000000001</v>
      </c>
      <c r="J4" s="11">
        <v>4.2518000000000002</v>
      </c>
      <c r="K4" s="11">
        <v>9.2350999999999992</v>
      </c>
      <c r="L4" s="11">
        <v>12.145</v>
      </c>
      <c r="M4" s="11">
        <v>13.861000000000001</v>
      </c>
      <c r="N4" s="11">
        <v>14.957000000000001</v>
      </c>
      <c r="O4" s="11">
        <v>15.614000000000001</v>
      </c>
      <c r="P4" s="11">
        <v>15.971</v>
      </c>
      <c r="Q4" s="11">
        <v>16</v>
      </c>
      <c r="R4" s="11">
        <v>16</v>
      </c>
      <c r="S4" s="11">
        <v>16</v>
      </c>
      <c r="T4" s="11">
        <v>16</v>
      </c>
      <c r="U4" s="11">
        <v>16</v>
      </c>
      <c r="V4" s="12">
        <v>16</v>
      </c>
    </row>
    <row r="5" spans="1:41" ht="15.75" thickBot="1" x14ac:dyDescent="0.3">
      <c r="A5" s="5">
        <v>2</v>
      </c>
      <c r="B5" s="13">
        <v>0.44993</v>
      </c>
      <c r="C5" s="11">
        <v>1.7548999999999999</v>
      </c>
      <c r="D5" s="11">
        <v>2.1924999999999999</v>
      </c>
      <c r="E5" s="11">
        <v>2.4142999999999999</v>
      </c>
      <c r="F5" s="11">
        <v>2.6008</v>
      </c>
      <c r="G5" s="11">
        <v>3.0063</v>
      </c>
      <c r="H5" s="11">
        <v>3.9144999999999999</v>
      </c>
      <c r="I5" s="11">
        <v>5.9893000000000001</v>
      </c>
      <c r="J5" s="11">
        <v>9.7814999999999994</v>
      </c>
      <c r="K5" s="11">
        <v>12.467000000000001</v>
      </c>
      <c r="L5" s="11">
        <v>14.102</v>
      </c>
      <c r="M5" s="11">
        <v>15.11</v>
      </c>
      <c r="N5" s="11">
        <v>15.683</v>
      </c>
      <c r="O5" s="11">
        <v>15.98</v>
      </c>
      <c r="P5" s="11">
        <v>16</v>
      </c>
      <c r="Q5" s="11">
        <v>16</v>
      </c>
      <c r="R5" s="11">
        <v>16</v>
      </c>
      <c r="S5" s="11">
        <v>16</v>
      </c>
      <c r="T5" s="11">
        <v>16</v>
      </c>
      <c r="U5" s="11">
        <v>16</v>
      </c>
      <c r="V5" s="12">
        <v>16</v>
      </c>
    </row>
    <row r="6" spans="1:41" ht="15.75" thickBot="1" x14ac:dyDescent="0.3">
      <c r="A6" s="5">
        <v>3</v>
      </c>
      <c r="B6" s="13">
        <v>0.45013999999999998</v>
      </c>
      <c r="C6" s="11">
        <v>2.7519</v>
      </c>
      <c r="D6" s="11">
        <v>3.55</v>
      </c>
      <c r="E6" s="11">
        <v>4.1985999999999999</v>
      </c>
      <c r="F6" s="11">
        <v>4.9146000000000001</v>
      </c>
      <c r="G6" s="11">
        <v>5.9584999999999999</v>
      </c>
      <c r="H6" s="11">
        <v>7.7301000000000002</v>
      </c>
      <c r="I6" s="11">
        <v>10.481999999999999</v>
      </c>
      <c r="J6" s="11">
        <v>12.874000000000001</v>
      </c>
      <c r="K6" s="11">
        <v>14.379</v>
      </c>
      <c r="L6" s="11">
        <v>15.27</v>
      </c>
      <c r="M6" s="11">
        <v>15.755000000000001</v>
      </c>
      <c r="N6" s="11">
        <v>15.98</v>
      </c>
      <c r="O6" s="11">
        <v>16</v>
      </c>
      <c r="P6" s="11">
        <v>16</v>
      </c>
      <c r="Q6" s="11">
        <v>16</v>
      </c>
      <c r="R6" s="11">
        <v>16</v>
      </c>
      <c r="S6" s="11">
        <v>16</v>
      </c>
      <c r="T6" s="11">
        <v>16</v>
      </c>
      <c r="U6" s="11">
        <v>16</v>
      </c>
      <c r="V6" s="12">
        <v>16</v>
      </c>
    </row>
    <row r="7" spans="1:41" ht="15.75" thickBot="1" x14ac:dyDescent="0.3">
      <c r="A7" s="5">
        <v>4</v>
      </c>
      <c r="B7" s="13">
        <v>0.40876000000000001</v>
      </c>
      <c r="C7" s="11">
        <v>4.0815000000000001</v>
      </c>
      <c r="D7" s="11">
        <v>5.4427000000000003</v>
      </c>
      <c r="E7" s="11">
        <v>6.6439000000000004</v>
      </c>
      <c r="F7" s="11">
        <v>8.0091000000000001</v>
      </c>
      <c r="G7" s="11">
        <v>9.6989999999999998</v>
      </c>
      <c r="H7" s="11">
        <v>11.641999999999999</v>
      </c>
      <c r="I7" s="11">
        <v>13.438000000000001</v>
      </c>
      <c r="J7" s="11">
        <v>14.696999999999999</v>
      </c>
      <c r="K7" s="11">
        <v>15.435</v>
      </c>
      <c r="L7" s="11">
        <v>15.819000000000001</v>
      </c>
      <c r="M7" s="11">
        <v>15.984</v>
      </c>
      <c r="N7" s="11">
        <v>16</v>
      </c>
      <c r="O7" s="11">
        <v>16</v>
      </c>
      <c r="P7" s="11">
        <v>16</v>
      </c>
      <c r="Q7" s="11">
        <v>16</v>
      </c>
      <c r="R7" s="11">
        <v>16</v>
      </c>
      <c r="S7" s="11">
        <v>16</v>
      </c>
      <c r="T7" s="11">
        <v>16</v>
      </c>
      <c r="U7" s="11">
        <v>16</v>
      </c>
      <c r="V7" s="12">
        <v>16</v>
      </c>
    </row>
    <row r="8" spans="1:41" ht="15.75" thickBot="1" x14ac:dyDescent="0.3">
      <c r="A8" s="5">
        <v>5</v>
      </c>
      <c r="B8" s="13">
        <v>1.2</v>
      </c>
      <c r="C8" s="11">
        <v>6.0964</v>
      </c>
      <c r="D8" s="11">
        <v>8.0486000000000004</v>
      </c>
      <c r="E8" s="11">
        <v>9.7337000000000007</v>
      </c>
      <c r="F8" s="11">
        <v>11.324999999999999</v>
      </c>
      <c r="G8" s="11">
        <v>12.826000000000001</v>
      </c>
      <c r="H8" s="11">
        <v>14.112</v>
      </c>
      <c r="I8" s="11">
        <v>15.034000000000001</v>
      </c>
      <c r="J8" s="11">
        <v>15.585000000000001</v>
      </c>
      <c r="K8" s="11">
        <v>15.878</v>
      </c>
      <c r="L8" s="11">
        <v>15.991</v>
      </c>
      <c r="M8" s="11">
        <v>16</v>
      </c>
      <c r="N8" s="11">
        <v>16</v>
      </c>
      <c r="O8" s="11">
        <v>16</v>
      </c>
      <c r="P8" s="11">
        <v>16</v>
      </c>
      <c r="Q8" s="11">
        <v>16</v>
      </c>
      <c r="R8" s="11">
        <v>16</v>
      </c>
      <c r="S8" s="11">
        <v>16</v>
      </c>
      <c r="T8" s="11">
        <v>16</v>
      </c>
      <c r="U8" s="11">
        <v>16</v>
      </c>
      <c r="V8" s="12">
        <v>16</v>
      </c>
    </row>
    <row r="9" spans="1:41" ht="15.75" thickBot="1" x14ac:dyDescent="0.3">
      <c r="A9" s="5">
        <v>6</v>
      </c>
      <c r="B9" s="13">
        <v>3.4156</v>
      </c>
      <c r="C9" s="11">
        <v>8.6426999999999996</v>
      </c>
      <c r="D9" s="11">
        <v>10.855</v>
      </c>
      <c r="E9" s="11">
        <v>12.473000000000001</v>
      </c>
      <c r="F9" s="11">
        <v>13.733000000000001</v>
      </c>
      <c r="G9" s="11">
        <v>14.673</v>
      </c>
      <c r="H9" s="11">
        <v>15.329000000000001</v>
      </c>
      <c r="I9" s="11">
        <v>15.733000000000001</v>
      </c>
      <c r="J9" s="11">
        <v>15.943</v>
      </c>
      <c r="K9" s="11">
        <v>16</v>
      </c>
      <c r="L9" s="11">
        <v>16</v>
      </c>
      <c r="M9" s="11">
        <v>16</v>
      </c>
      <c r="N9" s="11">
        <v>16</v>
      </c>
      <c r="O9" s="11">
        <v>16</v>
      </c>
      <c r="P9" s="11">
        <v>16</v>
      </c>
      <c r="Q9" s="11">
        <v>16</v>
      </c>
      <c r="R9" s="11">
        <v>16</v>
      </c>
      <c r="S9" s="11">
        <v>16</v>
      </c>
      <c r="T9" s="11">
        <v>16</v>
      </c>
      <c r="U9" s="11">
        <v>16</v>
      </c>
      <c r="V9" s="12">
        <v>16</v>
      </c>
    </row>
    <row r="10" spans="1:41" ht="15.75" thickBot="1" x14ac:dyDescent="0.3">
      <c r="A10" s="5">
        <v>7</v>
      </c>
      <c r="B10" s="13">
        <v>6.5143000000000004</v>
      </c>
      <c r="C10" s="11">
        <v>11.4</v>
      </c>
      <c r="D10" s="11">
        <v>13.143000000000001</v>
      </c>
      <c r="E10" s="11">
        <v>14.269</v>
      </c>
      <c r="F10" s="11">
        <v>15.048999999999999</v>
      </c>
      <c r="G10" s="11">
        <v>15.568</v>
      </c>
      <c r="H10" s="11">
        <v>15.882</v>
      </c>
      <c r="I10" s="11">
        <v>15.997999999999999</v>
      </c>
      <c r="J10" s="11">
        <v>16</v>
      </c>
      <c r="K10" s="11">
        <v>16</v>
      </c>
      <c r="L10" s="11">
        <v>16</v>
      </c>
      <c r="M10" s="11">
        <v>16</v>
      </c>
      <c r="N10" s="11">
        <v>16</v>
      </c>
      <c r="O10" s="11">
        <v>16</v>
      </c>
      <c r="P10" s="11">
        <v>16</v>
      </c>
      <c r="Q10" s="11">
        <v>16</v>
      </c>
      <c r="R10" s="11">
        <v>16</v>
      </c>
      <c r="S10" s="11">
        <v>16</v>
      </c>
      <c r="T10" s="11">
        <v>16</v>
      </c>
      <c r="U10" s="11">
        <v>16</v>
      </c>
      <c r="V10" s="12">
        <v>16</v>
      </c>
    </row>
    <row r="11" spans="1:41" ht="15.75" thickBot="1" x14ac:dyDescent="0.3">
      <c r="A11" s="5">
        <v>8</v>
      </c>
      <c r="B11" s="13">
        <v>9.6067999999999998</v>
      </c>
      <c r="C11" s="11">
        <v>13.273999999999999</v>
      </c>
      <c r="D11" s="11">
        <v>14.502000000000001</v>
      </c>
      <c r="E11" s="11">
        <v>15.275</v>
      </c>
      <c r="F11" s="11">
        <v>15.762</v>
      </c>
      <c r="G11" s="11">
        <v>15.984999999999999</v>
      </c>
      <c r="H11" s="11">
        <v>16</v>
      </c>
      <c r="I11" s="11">
        <v>16</v>
      </c>
      <c r="J11" s="11">
        <v>16</v>
      </c>
      <c r="K11" s="11">
        <v>16</v>
      </c>
      <c r="L11" s="11">
        <v>16</v>
      </c>
      <c r="M11" s="11">
        <v>16</v>
      </c>
      <c r="N11" s="11">
        <v>16</v>
      </c>
      <c r="O11" s="11">
        <v>16</v>
      </c>
      <c r="P11" s="11">
        <v>16</v>
      </c>
      <c r="Q11" s="11">
        <v>16</v>
      </c>
      <c r="R11" s="11">
        <v>16</v>
      </c>
      <c r="S11" s="11">
        <v>16</v>
      </c>
      <c r="T11" s="11">
        <v>16</v>
      </c>
      <c r="U11" s="11">
        <v>16</v>
      </c>
      <c r="V11" s="12">
        <v>16</v>
      </c>
    </row>
    <row r="12" spans="1:41" ht="15.75" thickBot="1" x14ac:dyDescent="0.3">
      <c r="A12" s="5">
        <v>9</v>
      </c>
      <c r="B12" s="13">
        <v>11.757999999999999</v>
      </c>
      <c r="C12" s="11">
        <v>14.432</v>
      </c>
      <c r="D12" s="11">
        <v>15.339</v>
      </c>
      <c r="E12" s="11">
        <v>15.827</v>
      </c>
      <c r="F12" s="11">
        <v>15.999000000000001</v>
      </c>
      <c r="G12" s="11">
        <v>16</v>
      </c>
      <c r="H12" s="11">
        <v>16</v>
      </c>
      <c r="I12" s="11">
        <v>16</v>
      </c>
      <c r="J12" s="11">
        <v>16</v>
      </c>
      <c r="K12" s="11">
        <v>16</v>
      </c>
      <c r="L12" s="11">
        <v>16</v>
      </c>
      <c r="M12" s="11">
        <v>16</v>
      </c>
      <c r="N12" s="11">
        <v>16</v>
      </c>
      <c r="O12" s="11">
        <v>16</v>
      </c>
      <c r="P12" s="11">
        <v>16</v>
      </c>
      <c r="Q12" s="11">
        <v>16</v>
      </c>
      <c r="R12" s="11">
        <v>16</v>
      </c>
      <c r="S12" s="11">
        <v>16</v>
      </c>
      <c r="T12" s="11">
        <v>16</v>
      </c>
      <c r="U12" s="11">
        <v>16</v>
      </c>
      <c r="V12" s="12">
        <v>16</v>
      </c>
    </row>
    <row r="13" spans="1:41" ht="15.75" thickBot="1" x14ac:dyDescent="0.3">
      <c r="A13" s="5">
        <v>10</v>
      </c>
      <c r="B13" s="13">
        <v>12.2</v>
      </c>
      <c r="C13" s="11">
        <v>14.769</v>
      </c>
      <c r="D13" s="11">
        <v>15.542</v>
      </c>
      <c r="E13" s="11">
        <v>15.912000000000001</v>
      </c>
      <c r="F13" s="11">
        <v>16</v>
      </c>
      <c r="G13" s="11">
        <v>16</v>
      </c>
      <c r="H13" s="11">
        <v>16</v>
      </c>
      <c r="I13" s="11">
        <v>16</v>
      </c>
      <c r="J13" s="11">
        <v>16</v>
      </c>
      <c r="K13" s="11">
        <v>16</v>
      </c>
      <c r="L13" s="11">
        <v>16</v>
      </c>
      <c r="M13" s="11">
        <v>16</v>
      </c>
      <c r="N13" s="11">
        <v>16</v>
      </c>
      <c r="O13" s="11">
        <v>16</v>
      </c>
      <c r="P13" s="11">
        <v>16</v>
      </c>
      <c r="Q13" s="11">
        <v>16</v>
      </c>
      <c r="R13" s="11">
        <v>16</v>
      </c>
      <c r="S13" s="11">
        <v>16</v>
      </c>
      <c r="T13" s="11">
        <v>16</v>
      </c>
      <c r="U13" s="11">
        <v>16</v>
      </c>
      <c r="V13" s="12">
        <v>16</v>
      </c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</row>
    <row r="14" spans="1:41" ht="15.75" thickBot="1" x14ac:dyDescent="0.3">
      <c r="A14" s="5">
        <v>11</v>
      </c>
      <c r="B14" s="13">
        <v>11.776999999999999</v>
      </c>
      <c r="C14" s="11">
        <v>14.715</v>
      </c>
      <c r="D14" s="11">
        <v>15.487</v>
      </c>
      <c r="E14" s="11">
        <v>15.864000000000001</v>
      </c>
      <c r="F14" s="11">
        <v>15.992000000000001</v>
      </c>
      <c r="G14" s="11">
        <v>16</v>
      </c>
      <c r="H14" s="11">
        <v>16</v>
      </c>
      <c r="I14" s="11">
        <v>16</v>
      </c>
      <c r="J14" s="11">
        <v>16</v>
      </c>
      <c r="K14" s="11">
        <v>16</v>
      </c>
      <c r="L14" s="11">
        <v>16</v>
      </c>
      <c r="M14" s="11">
        <v>16</v>
      </c>
      <c r="N14" s="11">
        <v>16</v>
      </c>
      <c r="O14" s="11">
        <v>16</v>
      </c>
      <c r="P14" s="11">
        <v>16</v>
      </c>
      <c r="Q14" s="11">
        <v>16</v>
      </c>
      <c r="R14" s="11">
        <v>16</v>
      </c>
      <c r="S14" s="11">
        <v>16</v>
      </c>
      <c r="T14" s="11">
        <v>16</v>
      </c>
      <c r="U14" s="11">
        <v>16</v>
      </c>
      <c r="V14" s="12">
        <v>16</v>
      </c>
    </row>
    <row r="15" spans="1:41" ht="15.75" thickBot="1" x14ac:dyDescent="0.3">
      <c r="A15" s="5">
        <v>12</v>
      </c>
      <c r="B15" s="13">
        <v>9.3214000000000006</v>
      </c>
      <c r="C15" s="11">
        <v>14.007</v>
      </c>
      <c r="D15" s="11">
        <v>14.962</v>
      </c>
      <c r="E15" s="11">
        <v>15.477</v>
      </c>
      <c r="F15" s="11">
        <v>15.763</v>
      </c>
      <c r="G15" s="11">
        <v>15.914999999999999</v>
      </c>
      <c r="H15" s="11">
        <v>15.983000000000001</v>
      </c>
      <c r="I15" s="11">
        <v>16</v>
      </c>
      <c r="J15" s="11">
        <v>16</v>
      </c>
      <c r="K15" s="11">
        <v>16</v>
      </c>
      <c r="L15" s="11">
        <v>16</v>
      </c>
      <c r="M15" s="11">
        <v>16</v>
      </c>
      <c r="N15" s="11">
        <v>16</v>
      </c>
      <c r="O15" s="11">
        <v>16</v>
      </c>
      <c r="P15" s="11">
        <v>16</v>
      </c>
      <c r="Q15" s="11">
        <v>16</v>
      </c>
      <c r="R15" s="11">
        <v>16</v>
      </c>
      <c r="S15" s="11">
        <v>16</v>
      </c>
      <c r="T15" s="11">
        <v>16</v>
      </c>
      <c r="U15" s="11">
        <v>16</v>
      </c>
      <c r="V15" s="12">
        <v>16</v>
      </c>
    </row>
    <row r="16" spans="1:41" ht="15.75" thickBot="1" x14ac:dyDescent="0.3">
      <c r="A16" s="5">
        <v>13</v>
      </c>
      <c r="B16" s="13">
        <v>6.7363</v>
      </c>
      <c r="C16" s="11">
        <v>12.409000000000001</v>
      </c>
      <c r="D16" s="11">
        <v>13.792</v>
      </c>
      <c r="E16" s="11">
        <v>14.592000000000001</v>
      </c>
      <c r="F16" s="11">
        <v>15.115</v>
      </c>
      <c r="G16" s="11">
        <v>15.478</v>
      </c>
      <c r="H16" s="11">
        <v>15.728</v>
      </c>
      <c r="I16" s="11">
        <v>15.884</v>
      </c>
      <c r="J16" s="11">
        <v>15.965999999999999</v>
      </c>
      <c r="K16" s="11">
        <v>15.997</v>
      </c>
      <c r="L16" s="11">
        <v>16</v>
      </c>
      <c r="M16" s="11">
        <v>16</v>
      </c>
      <c r="N16" s="11">
        <v>16</v>
      </c>
      <c r="O16" s="11">
        <v>16</v>
      </c>
      <c r="P16" s="11">
        <v>16</v>
      </c>
      <c r="Q16" s="11">
        <v>16</v>
      </c>
      <c r="R16" s="11">
        <v>16</v>
      </c>
      <c r="S16" s="11">
        <v>16</v>
      </c>
      <c r="T16" s="11">
        <v>16</v>
      </c>
      <c r="U16" s="11">
        <v>16</v>
      </c>
      <c r="V16" s="12">
        <v>16</v>
      </c>
    </row>
    <row r="17" spans="1:22" ht="15.75" thickBot="1" x14ac:dyDescent="0.3">
      <c r="A17" s="5">
        <v>14</v>
      </c>
      <c r="B17" s="13">
        <v>4.6161000000000003</v>
      </c>
      <c r="C17" s="11">
        <v>10.051</v>
      </c>
      <c r="D17" s="11">
        <v>11.795999999999999</v>
      </c>
      <c r="E17" s="11">
        <v>12.956</v>
      </c>
      <c r="F17" s="11">
        <v>13.795999999999999</v>
      </c>
      <c r="G17" s="11">
        <v>14.433</v>
      </c>
      <c r="H17" s="11">
        <v>14.933999999999999</v>
      </c>
      <c r="I17" s="11">
        <v>15.319000000000001</v>
      </c>
      <c r="J17" s="11">
        <v>15.608000000000001</v>
      </c>
      <c r="K17" s="11">
        <v>15.815</v>
      </c>
      <c r="L17" s="11">
        <v>15.935</v>
      </c>
      <c r="M17" s="11">
        <v>15.994999999999999</v>
      </c>
      <c r="N17" s="11">
        <v>16</v>
      </c>
      <c r="O17" s="11">
        <v>16</v>
      </c>
      <c r="P17" s="11">
        <v>16</v>
      </c>
      <c r="Q17" s="11">
        <v>16</v>
      </c>
      <c r="R17" s="11">
        <v>16</v>
      </c>
      <c r="S17" s="11">
        <v>16</v>
      </c>
      <c r="T17" s="11">
        <v>16</v>
      </c>
      <c r="U17" s="11">
        <v>16</v>
      </c>
      <c r="V17" s="12">
        <v>16</v>
      </c>
    </row>
    <row r="18" spans="1:22" ht="15.75" thickBot="1" x14ac:dyDescent="0.3">
      <c r="A18" s="5">
        <v>15</v>
      </c>
      <c r="B18" s="13">
        <v>2.8936999999999999</v>
      </c>
      <c r="C18" s="11">
        <v>7.2473999999999998</v>
      </c>
      <c r="D18" s="11">
        <v>8.9589999999999996</v>
      </c>
      <c r="E18" s="11">
        <v>10.238</v>
      </c>
      <c r="F18" s="11">
        <v>11.298</v>
      </c>
      <c r="G18" s="11">
        <v>12.215</v>
      </c>
      <c r="H18" s="11">
        <v>13.01</v>
      </c>
      <c r="I18" s="11">
        <v>13.696999999999999</v>
      </c>
      <c r="J18" s="11">
        <v>14.291</v>
      </c>
      <c r="K18" s="11">
        <v>14.805</v>
      </c>
      <c r="L18" s="11">
        <v>15.250999999999999</v>
      </c>
      <c r="M18" s="11">
        <v>15.613</v>
      </c>
      <c r="N18" s="11">
        <v>15.879</v>
      </c>
      <c r="O18" s="11">
        <v>16</v>
      </c>
      <c r="P18" s="11">
        <v>16</v>
      </c>
      <c r="Q18" s="11">
        <v>16</v>
      </c>
      <c r="R18" s="11">
        <v>16</v>
      </c>
      <c r="S18" s="11">
        <v>16</v>
      </c>
      <c r="T18" s="11">
        <v>16</v>
      </c>
      <c r="U18" s="11">
        <v>16</v>
      </c>
      <c r="V18" s="12">
        <v>16</v>
      </c>
    </row>
    <row r="19" spans="1:22" ht="15.75" thickBot="1" x14ac:dyDescent="0.3">
      <c r="A19" s="5">
        <v>16</v>
      </c>
      <c r="B19" s="13">
        <v>1.57</v>
      </c>
      <c r="C19" s="11">
        <v>4.6612999999999998</v>
      </c>
      <c r="D19" s="11">
        <v>5.9278000000000004</v>
      </c>
      <c r="E19" s="11">
        <v>6.9</v>
      </c>
      <c r="F19" s="11">
        <v>7.8221999999999996</v>
      </c>
      <c r="G19" s="11">
        <v>8.7407000000000004</v>
      </c>
      <c r="H19" s="11">
        <v>9.6417000000000002</v>
      </c>
      <c r="I19" s="11">
        <v>10.532999999999999</v>
      </c>
      <c r="J19" s="11">
        <v>11.416</v>
      </c>
      <c r="K19" s="11">
        <v>12.294</v>
      </c>
      <c r="L19" s="11">
        <v>13.159000000000001</v>
      </c>
      <c r="M19" s="11">
        <v>14.004</v>
      </c>
      <c r="N19" s="11">
        <v>14.791</v>
      </c>
      <c r="O19" s="11">
        <v>15.477</v>
      </c>
      <c r="P19" s="11">
        <v>15.933</v>
      </c>
      <c r="Q19" s="11">
        <v>16</v>
      </c>
      <c r="R19" s="11">
        <v>16</v>
      </c>
      <c r="S19" s="11">
        <v>16</v>
      </c>
      <c r="T19" s="11">
        <v>16</v>
      </c>
      <c r="U19" s="11">
        <v>16</v>
      </c>
      <c r="V19" s="12">
        <v>16</v>
      </c>
    </row>
    <row r="20" spans="1:22" ht="15.75" thickBot="1" x14ac:dyDescent="0.3">
      <c r="A20" s="5">
        <v>17</v>
      </c>
      <c r="B20" s="13">
        <v>0.66722999999999999</v>
      </c>
      <c r="C20" s="11">
        <v>2.9155000000000002</v>
      </c>
      <c r="D20" s="11">
        <v>3.7917000000000001</v>
      </c>
      <c r="E20" s="11">
        <v>4.4107000000000003</v>
      </c>
      <c r="F20" s="11">
        <v>4.9452999999999996</v>
      </c>
      <c r="G20" s="11">
        <v>5.4794999999999998</v>
      </c>
      <c r="H20" s="11">
        <v>6.0598999999999998</v>
      </c>
      <c r="I20" s="11">
        <v>6.7229000000000001</v>
      </c>
      <c r="J20" s="11">
        <v>7.4941000000000004</v>
      </c>
      <c r="K20" s="11">
        <v>8.4077999999999999</v>
      </c>
      <c r="L20" s="11">
        <v>9.5215999999999994</v>
      </c>
      <c r="M20" s="11">
        <v>10.832000000000001</v>
      </c>
      <c r="N20" s="11">
        <v>12.234</v>
      </c>
      <c r="O20" s="11">
        <v>13.574999999999999</v>
      </c>
      <c r="P20" s="11">
        <v>14.768000000000001</v>
      </c>
      <c r="Q20" s="11">
        <v>15.33</v>
      </c>
      <c r="R20" s="11">
        <v>15.541</v>
      </c>
      <c r="S20" s="11">
        <v>15.714</v>
      </c>
      <c r="T20" s="11">
        <v>15.856</v>
      </c>
      <c r="U20" s="11">
        <v>15.964</v>
      </c>
      <c r="V20" s="12">
        <v>16</v>
      </c>
    </row>
    <row r="21" spans="1:22" ht="15.75" thickBot="1" x14ac:dyDescent="0.3">
      <c r="A21" s="5">
        <v>18</v>
      </c>
      <c r="B21" s="13">
        <v>0.18149000000000001</v>
      </c>
      <c r="C21" s="11">
        <v>1.8965000000000001</v>
      </c>
      <c r="D21" s="11">
        <v>2.4828000000000001</v>
      </c>
      <c r="E21" s="11">
        <v>2.8119999999999998</v>
      </c>
      <c r="F21" s="11">
        <v>3.0367999999999999</v>
      </c>
      <c r="G21" s="11">
        <v>3.2374999999999998</v>
      </c>
      <c r="H21" s="11">
        <v>3.4573</v>
      </c>
      <c r="I21" s="11">
        <v>3.7397999999999998</v>
      </c>
      <c r="J21" s="11">
        <v>4.1276999999999999</v>
      </c>
      <c r="K21" s="11">
        <v>4.6868999999999996</v>
      </c>
      <c r="L21" s="11">
        <v>5.5331999999999999</v>
      </c>
      <c r="M21" s="11">
        <v>6.7480000000000002</v>
      </c>
      <c r="N21" s="11">
        <v>8.3566000000000003</v>
      </c>
      <c r="O21" s="11">
        <v>10.177</v>
      </c>
      <c r="P21" s="11">
        <v>11.981</v>
      </c>
      <c r="Q21" s="11">
        <v>12.952999999999999</v>
      </c>
      <c r="R21" s="11">
        <v>13.476000000000001</v>
      </c>
      <c r="S21" s="11">
        <v>13.968999999999999</v>
      </c>
      <c r="T21" s="11">
        <v>14.427</v>
      </c>
      <c r="U21" s="11">
        <v>14.853999999999999</v>
      </c>
      <c r="V21" s="12">
        <v>15.250999999999999</v>
      </c>
    </row>
    <row r="22" spans="1:22" ht="15.75" thickBot="1" x14ac:dyDescent="0.3">
      <c r="A22" s="5">
        <v>19</v>
      </c>
      <c r="B22" s="13">
        <v>3.1335E-3</v>
      </c>
      <c r="C22" s="11">
        <v>1.2503</v>
      </c>
      <c r="D22" s="11">
        <v>1.7650999999999999</v>
      </c>
      <c r="E22" s="11">
        <v>2.0531999999999999</v>
      </c>
      <c r="F22" s="11">
        <v>2.1743999999999999</v>
      </c>
      <c r="G22" s="11">
        <v>2.1562999999999999</v>
      </c>
      <c r="H22" s="11">
        <v>2.0299999999999998</v>
      </c>
      <c r="I22" s="11">
        <v>1.8567</v>
      </c>
      <c r="J22" s="11">
        <v>1.7811999999999999</v>
      </c>
      <c r="K22" s="11">
        <v>1.9075</v>
      </c>
      <c r="L22" s="11">
        <v>2.3031999999999999</v>
      </c>
      <c r="M22" s="11">
        <v>3.0051000000000001</v>
      </c>
      <c r="N22" s="11">
        <v>4.0702999999999996</v>
      </c>
      <c r="O22" s="11">
        <v>5.6375000000000002</v>
      </c>
      <c r="P22" s="11">
        <v>7.5816999999999997</v>
      </c>
      <c r="Q22" s="11">
        <v>8.8684999999999992</v>
      </c>
      <c r="R22" s="11">
        <v>9.7459000000000007</v>
      </c>
      <c r="S22" s="11">
        <v>10.590999999999999</v>
      </c>
      <c r="T22" s="11">
        <v>11.413</v>
      </c>
      <c r="U22" s="11">
        <v>12.218</v>
      </c>
      <c r="V22" s="12">
        <v>13.015000000000001</v>
      </c>
    </row>
    <row r="23" spans="1:22" ht="15.75" thickBot="1" x14ac:dyDescent="0.3">
      <c r="A23" s="5">
        <v>20</v>
      </c>
      <c r="B23" s="14"/>
      <c r="C23" s="15">
        <v>0.20494000000000001</v>
      </c>
      <c r="D23" s="15">
        <v>1.0864</v>
      </c>
      <c r="E23" s="15">
        <v>1.6521999999999999</v>
      </c>
      <c r="F23" s="15">
        <v>1.9417</v>
      </c>
      <c r="G23" s="15">
        <v>2.02</v>
      </c>
      <c r="H23" s="15">
        <v>1.9064000000000001</v>
      </c>
      <c r="I23" s="15">
        <v>1.5911999999999999</v>
      </c>
      <c r="J23" s="15">
        <v>1.0555000000000001</v>
      </c>
      <c r="K23" s="15">
        <v>1.4985E-10</v>
      </c>
      <c r="L23" s="15">
        <v>2.6526000000000001E-2</v>
      </c>
      <c r="M23" s="15">
        <v>0.10150000000000001</v>
      </c>
      <c r="N23" s="15">
        <v>0.35270000000000001</v>
      </c>
      <c r="O23" s="15">
        <v>0.82977999999999996</v>
      </c>
      <c r="P23" s="15">
        <v>2.0162</v>
      </c>
      <c r="Q23" s="15">
        <v>3.1957</v>
      </c>
      <c r="R23" s="15">
        <v>4.2317999999999998</v>
      </c>
      <c r="S23" s="15">
        <v>5.3613</v>
      </c>
      <c r="T23" s="15">
        <v>6.5795000000000003</v>
      </c>
      <c r="U23" s="15">
        <v>7.8733000000000004</v>
      </c>
      <c r="V23" s="16">
        <v>9.1798999999999999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9246-DA12-4997-9566-56F227B02459}">
  <dimension ref="A1:F25"/>
  <sheetViews>
    <sheetView workbookViewId="0">
      <selection activeCell="I31" sqref="I31"/>
    </sheetView>
  </sheetViews>
  <sheetFormatPr defaultRowHeight="15" x14ac:dyDescent="0.25"/>
  <cols>
    <col min="1" max="16384" width="9.140625" style="35"/>
  </cols>
  <sheetData>
    <row r="1" spans="1:6" ht="15.75" thickBot="1" x14ac:dyDescent="0.3">
      <c r="A1" s="90" t="s">
        <v>0</v>
      </c>
      <c r="B1" s="87" t="s">
        <v>53</v>
      </c>
      <c r="C1" s="88"/>
      <c r="D1" s="89"/>
      <c r="E1" s="87" t="s">
        <v>5</v>
      </c>
      <c r="F1" s="89"/>
    </row>
    <row r="2" spans="1:6" ht="15.75" thickBot="1" x14ac:dyDescent="0.3">
      <c r="A2" s="91"/>
      <c r="B2" s="30" t="s">
        <v>2</v>
      </c>
      <c r="C2" s="30" t="s">
        <v>3</v>
      </c>
      <c r="D2" s="30" t="s">
        <v>4</v>
      </c>
      <c r="E2" s="30" t="s">
        <v>4</v>
      </c>
      <c r="F2" s="30" t="s">
        <v>6</v>
      </c>
    </row>
    <row r="3" spans="1:6" ht="15.75" thickBot="1" x14ac:dyDescent="0.3">
      <c r="A3" s="30" t="s">
        <v>1</v>
      </c>
      <c r="B3" s="31">
        <v>-96.46</v>
      </c>
      <c r="C3" s="32">
        <v>15.8</v>
      </c>
      <c r="D3" s="32">
        <v>15.4919413071843</v>
      </c>
      <c r="E3" s="32">
        <f>D3+F3</f>
        <v>16.150274640517633</v>
      </c>
      <c r="F3" s="33">
        <f>C3/24</f>
        <v>0.65833333333333333</v>
      </c>
    </row>
    <row r="4" spans="1:6" ht="15.75" thickBot="1" x14ac:dyDescent="0.3">
      <c r="A4" s="30">
        <v>0</v>
      </c>
      <c r="B4" s="24">
        <v>-92.5</v>
      </c>
      <c r="C4" s="25">
        <v>15.81</v>
      </c>
      <c r="D4" s="25">
        <v>14.5508490880216</v>
      </c>
      <c r="E4" s="25">
        <f t="shared" ref="E4:E25" si="0">D4+F4</f>
        <v>15.2095990880216</v>
      </c>
      <c r="F4" s="26">
        <f t="shared" ref="F4:F25" si="1">C4/24</f>
        <v>0.65875000000000006</v>
      </c>
    </row>
    <row r="5" spans="1:6" ht="15.75" thickBot="1" x14ac:dyDescent="0.3">
      <c r="A5" s="30">
        <v>1</v>
      </c>
      <c r="B5" s="24">
        <f>B4+9.25</f>
        <v>-83.25</v>
      </c>
      <c r="C5" s="25">
        <v>15.82</v>
      </c>
      <c r="D5" s="25">
        <v>13.4564622469998</v>
      </c>
      <c r="E5" s="25">
        <f t="shared" si="0"/>
        <v>14.115628913666466</v>
      </c>
      <c r="F5" s="26">
        <f t="shared" si="1"/>
        <v>0.65916666666666668</v>
      </c>
    </row>
    <row r="6" spans="1:6" ht="15.75" thickBot="1" x14ac:dyDescent="0.3">
      <c r="A6" s="30">
        <v>2</v>
      </c>
      <c r="B6" s="24">
        <f t="shared" ref="B6:B24" si="2">B5+9.25</f>
        <v>-74</v>
      </c>
      <c r="C6" s="25">
        <v>16</v>
      </c>
      <c r="D6" s="25">
        <v>13.291456149160499</v>
      </c>
      <c r="E6" s="25">
        <f t="shared" si="0"/>
        <v>13.958122815827165</v>
      </c>
      <c r="F6" s="26">
        <f t="shared" si="1"/>
        <v>0.66666666666666663</v>
      </c>
    </row>
    <row r="7" spans="1:6" ht="15.75" thickBot="1" x14ac:dyDescent="0.3">
      <c r="A7" s="30">
        <v>3</v>
      </c>
      <c r="B7" s="24">
        <f t="shared" si="2"/>
        <v>-64.75</v>
      </c>
      <c r="C7" s="25">
        <v>16</v>
      </c>
      <c r="D7" s="25">
        <v>13.4962868111792</v>
      </c>
      <c r="E7" s="25">
        <f t="shared" si="0"/>
        <v>14.162953477845866</v>
      </c>
      <c r="F7" s="26">
        <f t="shared" si="1"/>
        <v>0.66666666666666663</v>
      </c>
    </row>
    <row r="8" spans="1:6" ht="15.75" thickBot="1" x14ac:dyDescent="0.3">
      <c r="A8" s="30">
        <v>4</v>
      </c>
      <c r="B8" s="24">
        <f t="shared" si="2"/>
        <v>-55.5</v>
      </c>
      <c r="C8" s="25">
        <v>16</v>
      </c>
      <c r="D8" s="25">
        <v>13.5720202723064</v>
      </c>
      <c r="E8" s="25">
        <f t="shared" si="0"/>
        <v>14.238686938973066</v>
      </c>
      <c r="F8" s="26">
        <f t="shared" si="1"/>
        <v>0.66666666666666663</v>
      </c>
    </row>
    <row r="9" spans="1:6" ht="15.75" thickBot="1" x14ac:dyDescent="0.3">
      <c r="A9" s="30">
        <v>5</v>
      </c>
      <c r="B9" s="24">
        <f t="shared" si="2"/>
        <v>-46.25</v>
      </c>
      <c r="C9" s="25">
        <v>16</v>
      </c>
      <c r="D9" s="25">
        <v>13.404700721623399</v>
      </c>
      <c r="E9" s="25">
        <f t="shared" si="0"/>
        <v>14.071367388290065</v>
      </c>
      <c r="F9" s="26">
        <f t="shared" si="1"/>
        <v>0.66666666666666663</v>
      </c>
    </row>
    <row r="10" spans="1:6" ht="15.75" thickBot="1" x14ac:dyDescent="0.3">
      <c r="A10" s="30">
        <v>6</v>
      </c>
      <c r="B10" s="24">
        <f t="shared" si="2"/>
        <v>-37</v>
      </c>
      <c r="C10" s="25">
        <v>16</v>
      </c>
      <c r="D10" s="25">
        <v>13.1308542898098</v>
      </c>
      <c r="E10" s="25">
        <f t="shared" si="0"/>
        <v>13.797520956476466</v>
      </c>
      <c r="F10" s="26">
        <f t="shared" si="1"/>
        <v>0.66666666666666663</v>
      </c>
    </row>
    <row r="11" spans="1:6" ht="15.75" thickBot="1" x14ac:dyDescent="0.3">
      <c r="A11" s="30">
        <v>7</v>
      </c>
      <c r="B11" s="24">
        <f t="shared" si="2"/>
        <v>-27.75</v>
      </c>
      <c r="C11" s="25">
        <v>16</v>
      </c>
      <c r="D11" s="25">
        <v>12.892510525543999</v>
      </c>
      <c r="E11" s="25">
        <f t="shared" si="0"/>
        <v>13.559177192210665</v>
      </c>
      <c r="F11" s="26">
        <f t="shared" si="1"/>
        <v>0.66666666666666663</v>
      </c>
    </row>
    <row r="12" spans="1:6" ht="15.75" thickBot="1" x14ac:dyDescent="0.3">
      <c r="A12" s="30">
        <v>8</v>
      </c>
      <c r="B12" s="24">
        <f t="shared" si="2"/>
        <v>-18.5</v>
      </c>
      <c r="C12" s="25">
        <v>16</v>
      </c>
      <c r="D12" s="25">
        <v>12.767307056538201</v>
      </c>
      <c r="E12" s="25">
        <f t="shared" si="0"/>
        <v>13.433973723204867</v>
      </c>
      <c r="F12" s="26">
        <f t="shared" si="1"/>
        <v>0.66666666666666663</v>
      </c>
    </row>
    <row r="13" spans="1:6" ht="15.75" thickBot="1" x14ac:dyDescent="0.3">
      <c r="A13" s="30">
        <v>9</v>
      </c>
      <c r="B13" s="24">
        <f t="shared" si="2"/>
        <v>-9.25</v>
      </c>
      <c r="C13" s="25">
        <v>16</v>
      </c>
      <c r="D13" s="25">
        <v>12.7329201874433</v>
      </c>
      <c r="E13" s="25">
        <f t="shared" si="0"/>
        <v>13.399586854109966</v>
      </c>
      <c r="F13" s="26">
        <f t="shared" si="1"/>
        <v>0.66666666666666663</v>
      </c>
    </row>
    <row r="14" spans="1:6" ht="15.75" thickBot="1" x14ac:dyDescent="0.3">
      <c r="A14" s="30">
        <v>10</v>
      </c>
      <c r="B14" s="24">
        <f t="shared" si="2"/>
        <v>0</v>
      </c>
      <c r="C14" s="25">
        <v>16</v>
      </c>
      <c r="D14" s="25">
        <v>12.7587499999999</v>
      </c>
      <c r="E14" s="25">
        <f t="shared" si="0"/>
        <v>13.425416666666566</v>
      </c>
      <c r="F14" s="26">
        <f t="shared" si="1"/>
        <v>0.66666666666666663</v>
      </c>
    </row>
    <row r="15" spans="1:6" ht="15.75" thickBot="1" x14ac:dyDescent="0.3">
      <c r="A15" s="30">
        <v>11</v>
      </c>
      <c r="B15" s="24">
        <f t="shared" si="2"/>
        <v>9.25</v>
      </c>
      <c r="C15" s="25">
        <v>16</v>
      </c>
      <c r="D15" s="25">
        <v>12.8216593096823</v>
      </c>
      <c r="E15" s="25">
        <f t="shared" si="0"/>
        <v>13.488325976348966</v>
      </c>
      <c r="F15" s="26">
        <f t="shared" si="1"/>
        <v>0.66666666666666663</v>
      </c>
    </row>
    <row r="16" spans="1:6" ht="15.75" thickBot="1" x14ac:dyDescent="0.3">
      <c r="A16" s="30">
        <v>12</v>
      </c>
      <c r="B16" s="24">
        <f t="shared" si="2"/>
        <v>18.5</v>
      </c>
      <c r="C16" s="25">
        <v>16</v>
      </c>
      <c r="D16" s="25">
        <v>12.9277853007197</v>
      </c>
      <c r="E16" s="25">
        <f t="shared" si="0"/>
        <v>13.594451967386366</v>
      </c>
      <c r="F16" s="26">
        <f t="shared" si="1"/>
        <v>0.66666666666666663</v>
      </c>
    </row>
    <row r="17" spans="1:6" ht="15.75" thickBot="1" x14ac:dyDescent="0.3">
      <c r="A17" s="30">
        <v>13</v>
      </c>
      <c r="B17" s="24">
        <f t="shared" si="2"/>
        <v>27.75</v>
      </c>
      <c r="C17" s="25">
        <v>16</v>
      </c>
      <c r="D17" s="25">
        <v>13.0905664323958</v>
      </c>
      <c r="E17" s="25">
        <f t="shared" si="0"/>
        <v>13.757233099062466</v>
      </c>
      <c r="F17" s="26">
        <f t="shared" si="1"/>
        <v>0.66666666666666663</v>
      </c>
    </row>
    <row r="18" spans="1:6" ht="15.75" thickBot="1" x14ac:dyDescent="0.3">
      <c r="A18" s="30">
        <v>14</v>
      </c>
      <c r="B18" s="24">
        <f t="shared" si="2"/>
        <v>37</v>
      </c>
      <c r="C18" s="25">
        <v>16</v>
      </c>
      <c r="D18" s="25">
        <v>13.3231170318506</v>
      </c>
      <c r="E18" s="25">
        <f t="shared" si="0"/>
        <v>13.989783698517266</v>
      </c>
      <c r="F18" s="26">
        <f t="shared" si="1"/>
        <v>0.66666666666666663</v>
      </c>
    </row>
    <row r="19" spans="1:6" ht="15.75" thickBot="1" x14ac:dyDescent="0.3">
      <c r="A19" s="30">
        <v>15</v>
      </c>
      <c r="B19" s="24">
        <f t="shared" si="2"/>
        <v>46.25</v>
      </c>
      <c r="C19" s="25">
        <v>16</v>
      </c>
      <c r="D19" s="25">
        <v>13.6348627282431</v>
      </c>
      <c r="E19" s="25">
        <f t="shared" si="0"/>
        <v>14.301529394909766</v>
      </c>
      <c r="F19" s="26">
        <f t="shared" si="1"/>
        <v>0.66666666666666663</v>
      </c>
    </row>
    <row r="20" spans="1:6" ht="15.75" thickBot="1" x14ac:dyDescent="0.3">
      <c r="A20" s="30">
        <v>16</v>
      </c>
      <c r="B20" s="24">
        <f t="shared" si="2"/>
        <v>55.5</v>
      </c>
      <c r="C20" s="25">
        <v>15.94</v>
      </c>
      <c r="D20" s="25">
        <v>14.032901563815299</v>
      </c>
      <c r="E20" s="25">
        <f t="shared" si="0"/>
        <v>14.697068230481966</v>
      </c>
      <c r="F20" s="26">
        <f t="shared" si="1"/>
        <v>0.66416666666666668</v>
      </c>
    </row>
    <row r="21" spans="1:6" ht="15.75" thickBot="1" x14ac:dyDescent="0.3">
      <c r="A21" s="30">
        <v>17</v>
      </c>
      <c r="B21" s="24">
        <f t="shared" si="2"/>
        <v>64.75</v>
      </c>
      <c r="C21" s="25">
        <v>15.21</v>
      </c>
      <c r="D21" s="25">
        <v>14.524080735637799</v>
      </c>
      <c r="E21" s="25">
        <f t="shared" si="0"/>
        <v>15.157830735637798</v>
      </c>
      <c r="F21" s="26">
        <f t="shared" si="1"/>
        <v>0.63375000000000004</v>
      </c>
    </row>
    <row r="22" spans="1:6" ht="15.75" thickBot="1" x14ac:dyDescent="0.3">
      <c r="A22" s="30">
        <v>18</v>
      </c>
      <c r="B22" s="24">
        <f t="shared" si="2"/>
        <v>74</v>
      </c>
      <c r="C22" s="25">
        <v>13</v>
      </c>
      <c r="D22" s="25">
        <v>15.097961198753101</v>
      </c>
      <c r="E22" s="25">
        <f t="shared" si="0"/>
        <v>15.639627865419767</v>
      </c>
      <c r="F22" s="26">
        <f t="shared" si="1"/>
        <v>0.54166666666666663</v>
      </c>
    </row>
    <row r="23" spans="1:6" ht="15.75" thickBot="1" x14ac:dyDescent="0.3">
      <c r="A23" s="30">
        <v>19</v>
      </c>
      <c r="B23" s="24">
        <f t="shared" si="2"/>
        <v>83.25</v>
      </c>
      <c r="C23" s="25">
        <v>9.49</v>
      </c>
      <c r="D23" s="25">
        <v>15.7171212710552</v>
      </c>
      <c r="E23" s="25">
        <f t="shared" si="0"/>
        <v>16.112537937721868</v>
      </c>
      <c r="F23" s="26">
        <f t="shared" si="1"/>
        <v>0.39541666666666669</v>
      </c>
    </row>
    <row r="24" spans="1:6" ht="15.75" thickBot="1" x14ac:dyDescent="0.3">
      <c r="A24" s="30">
        <v>20</v>
      </c>
      <c r="B24" s="24">
        <f t="shared" si="2"/>
        <v>92.5</v>
      </c>
      <c r="C24" s="25">
        <v>4.5999999999999996</v>
      </c>
      <c r="D24" s="25">
        <v>16.3417499790982</v>
      </c>
      <c r="E24" s="25">
        <f t="shared" si="0"/>
        <v>16.533416645764866</v>
      </c>
      <c r="F24" s="26">
        <f t="shared" si="1"/>
        <v>0.19166666666666665</v>
      </c>
    </row>
    <row r="25" spans="1:6" ht="15.75" thickBot="1" x14ac:dyDescent="0.3">
      <c r="A25" s="30" t="s">
        <v>7</v>
      </c>
      <c r="B25" s="27">
        <v>97</v>
      </c>
      <c r="C25" s="28">
        <v>0</v>
      </c>
      <c r="D25" s="28">
        <v>16.636761225919901</v>
      </c>
      <c r="E25" s="28">
        <f t="shared" si="0"/>
        <v>16.636761225919901</v>
      </c>
      <c r="F25" s="29">
        <f t="shared" si="1"/>
        <v>0</v>
      </c>
    </row>
  </sheetData>
  <mergeCells count="3">
    <mergeCell ref="B1:D1"/>
    <mergeCell ref="E1:F1"/>
    <mergeCell ref="A1:A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CA1B-5BFF-4664-81AA-477CB00E620B}">
  <dimension ref="A1:H85"/>
  <sheetViews>
    <sheetView workbookViewId="0">
      <selection activeCell="J30" sqref="J30"/>
    </sheetView>
  </sheetViews>
  <sheetFormatPr defaultRowHeight="15" x14ac:dyDescent="0.25"/>
  <cols>
    <col min="1" max="16384" width="9.140625" style="35"/>
  </cols>
  <sheetData>
    <row r="1" spans="1:6" ht="15.75" thickBot="1" x14ac:dyDescent="0.3">
      <c r="A1" s="90" t="s">
        <v>8</v>
      </c>
      <c r="B1" s="90" t="s">
        <v>4</v>
      </c>
      <c r="C1" s="87" t="s">
        <v>55</v>
      </c>
      <c r="D1" s="89"/>
      <c r="E1" s="87" t="s">
        <v>7</v>
      </c>
      <c r="F1" s="89"/>
    </row>
    <row r="2" spans="1:6" ht="15.75" thickBot="1" x14ac:dyDescent="0.3">
      <c r="A2" s="91"/>
      <c r="B2" s="91"/>
      <c r="C2" s="30" t="s">
        <v>56</v>
      </c>
      <c r="D2" s="30" t="s">
        <v>3</v>
      </c>
      <c r="E2" s="30" t="s">
        <v>57</v>
      </c>
      <c r="F2" s="30" t="s">
        <v>3</v>
      </c>
    </row>
    <row r="3" spans="1:6" ht="15.75" thickBot="1" x14ac:dyDescent="0.3">
      <c r="A3" s="30">
        <v>0</v>
      </c>
      <c r="B3" s="31">
        <v>0</v>
      </c>
      <c r="C3" s="32">
        <v>-81.02</v>
      </c>
      <c r="D3" s="32">
        <v>0</v>
      </c>
      <c r="E3" s="32">
        <v>83.15</v>
      </c>
      <c r="F3" s="33">
        <v>0</v>
      </c>
    </row>
    <row r="4" spans="1:6" ht="15.75" thickBot="1" x14ac:dyDescent="0.3">
      <c r="A4" s="30">
        <v>1</v>
      </c>
      <c r="B4" s="24">
        <v>1</v>
      </c>
      <c r="C4" s="10">
        <f t="shared" ref="C4:C23" si="0">E41-92.5</f>
        <v>-85.275396139888443</v>
      </c>
      <c r="D4" s="25">
        <v>0</v>
      </c>
      <c r="E4" s="10">
        <f>E66-92.5</f>
        <v>93.782489911032997</v>
      </c>
      <c r="F4" s="26">
        <v>0</v>
      </c>
    </row>
    <row r="5" spans="1:6" ht="15.75" thickBot="1" x14ac:dyDescent="0.3">
      <c r="A5" s="30">
        <v>2</v>
      </c>
      <c r="B5" s="24">
        <v>2</v>
      </c>
      <c r="C5" s="10">
        <f t="shared" si="0"/>
        <v>-86.911109084920895</v>
      </c>
      <c r="D5" s="25">
        <v>0</v>
      </c>
      <c r="E5" s="10">
        <f t="shared" ref="E5:E23" si="1">E67-92.5</f>
        <v>96.149158924252987</v>
      </c>
      <c r="F5" s="26">
        <v>0</v>
      </c>
    </row>
    <row r="6" spans="1:6" ht="15.75" thickBot="1" x14ac:dyDescent="0.3">
      <c r="A6" s="30">
        <v>3</v>
      </c>
      <c r="B6" s="24">
        <v>3</v>
      </c>
      <c r="C6" s="10">
        <f t="shared" si="0"/>
        <v>-87.836999893000026</v>
      </c>
      <c r="D6" s="25">
        <v>0.5</v>
      </c>
      <c r="E6" s="10">
        <f t="shared" si="1"/>
        <v>97.737543655025007</v>
      </c>
      <c r="F6" s="26">
        <v>0</v>
      </c>
    </row>
    <row r="7" spans="1:6" ht="15.75" thickBot="1" x14ac:dyDescent="0.3">
      <c r="A7" s="30">
        <v>4</v>
      </c>
      <c r="B7" s="24">
        <v>4</v>
      </c>
      <c r="C7" s="10">
        <f t="shared" si="0"/>
        <v>-87.444220057943099</v>
      </c>
      <c r="D7" s="25">
        <v>0</v>
      </c>
      <c r="E7" s="10">
        <f t="shared" si="1"/>
        <v>98.831212682472</v>
      </c>
      <c r="F7" s="26">
        <v>0</v>
      </c>
    </row>
    <row r="8" spans="1:6" ht="15.75" thickBot="1" x14ac:dyDescent="0.3">
      <c r="A8" s="30">
        <v>5</v>
      </c>
      <c r="B8" s="24">
        <v>5</v>
      </c>
      <c r="C8" s="10">
        <f t="shared" si="0"/>
        <v>-85.769451058539673</v>
      </c>
      <c r="D8" s="25">
        <v>0</v>
      </c>
      <c r="E8" s="10">
        <f t="shared" si="1"/>
        <v>99.519261304292996</v>
      </c>
      <c r="F8" s="26">
        <v>0</v>
      </c>
    </row>
    <row r="9" spans="1:6" ht="15.75" thickBot="1" x14ac:dyDescent="0.3">
      <c r="A9" s="30">
        <v>6</v>
      </c>
      <c r="B9" s="24">
        <v>6</v>
      </c>
      <c r="C9" s="10">
        <f t="shared" si="0"/>
        <v>-85.660301919448642</v>
      </c>
      <c r="D9" s="25">
        <v>0</v>
      </c>
      <c r="E9" s="10">
        <f t="shared" si="1"/>
        <v>99.873804897991988</v>
      </c>
      <c r="F9" s="26">
        <v>0</v>
      </c>
    </row>
    <row r="10" spans="1:6" ht="15.75" thickBot="1" x14ac:dyDescent="0.3">
      <c r="A10" s="30">
        <v>7</v>
      </c>
      <c r="B10" s="24">
        <v>7</v>
      </c>
      <c r="C10" s="10">
        <f t="shared" si="0"/>
        <v>-86.337249964363309</v>
      </c>
      <c r="D10" s="25">
        <v>0</v>
      </c>
      <c r="E10" s="10">
        <f t="shared" si="1"/>
        <v>99.864384780296007</v>
      </c>
      <c r="F10" s="26">
        <v>0</v>
      </c>
    </row>
    <row r="11" spans="1:6" ht="15.75" thickBot="1" x14ac:dyDescent="0.3">
      <c r="A11" s="30">
        <v>8</v>
      </c>
      <c r="B11" s="24">
        <v>8</v>
      </c>
      <c r="C11" s="10">
        <f t="shared" si="0"/>
        <v>-88.544619232211843</v>
      </c>
      <c r="D11" s="25">
        <v>0</v>
      </c>
      <c r="E11" s="10">
        <f t="shared" si="1"/>
        <v>99.302465703948997</v>
      </c>
      <c r="F11" s="26">
        <v>0</v>
      </c>
    </row>
    <row r="12" spans="1:6" ht="15.75" thickBot="1" x14ac:dyDescent="0.3">
      <c r="A12" s="30">
        <v>9</v>
      </c>
      <c r="B12" s="24">
        <v>9</v>
      </c>
      <c r="C12" s="10">
        <f t="shared" si="0"/>
        <v>-93.532099138049261</v>
      </c>
      <c r="D12" s="25">
        <v>0</v>
      </c>
      <c r="E12" s="10">
        <f t="shared" si="1"/>
        <v>92.499672027164991</v>
      </c>
      <c r="F12" s="26">
        <v>0</v>
      </c>
    </row>
    <row r="13" spans="1:6" ht="15.75" thickBot="1" x14ac:dyDescent="0.3">
      <c r="A13" s="30">
        <v>10</v>
      </c>
      <c r="B13" s="24">
        <v>10</v>
      </c>
      <c r="C13" s="10">
        <f t="shared" si="0"/>
        <v>-96.67600011799999</v>
      </c>
      <c r="D13" s="25">
        <v>5.42</v>
      </c>
      <c r="E13" s="10">
        <f t="shared" si="1"/>
        <v>92.693117345692002</v>
      </c>
      <c r="F13" s="26">
        <v>0</v>
      </c>
    </row>
    <row r="14" spans="1:6" ht="15.75" thickBot="1" x14ac:dyDescent="0.3">
      <c r="A14" s="30">
        <v>11</v>
      </c>
      <c r="B14" s="24">
        <v>11</v>
      </c>
      <c r="C14" s="10">
        <f t="shared" si="0"/>
        <v>-96.67600011799999</v>
      </c>
      <c r="D14" s="25">
        <v>10.52</v>
      </c>
      <c r="E14" s="10">
        <f t="shared" si="1"/>
        <v>93.063641338997996</v>
      </c>
      <c r="F14" s="26">
        <v>0</v>
      </c>
    </row>
    <row r="15" spans="1:6" ht="15.75" thickBot="1" x14ac:dyDescent="0.3">
      <c r="A15" s="30">
        <v>12</v>
      </c>
      <c r="B15" s="24">
        <v>12</v>
      </c>
      <c r="C15" s="10">
        <f t="shared" si="0"/>
        <v>-96.67600011799999</v>
      </c>
      <c r="D15" s="25">
        <v>12.87</v>
      </c>
      <c r="E15" s="10">
        <f t="shared" si="1"/>
        <v>93.566337343751002</v>
      </c>
      <c r="F15" s="26">
        <v>0</v>
      </c>
    </row>
    <row r="16" spans="1:6" ht="15.75" thickBot="1" x14ac:dyDescent="0.3">
      <c r="A16" s="30">
        <v>13</v>
      </c>
      <c r="B16" s="24">
        <v>13</v>
      </c>
      <c r="C16" s="10">
        <f t="shared" si="0"/>
        <v>-96.67600011799999</v>
      </c>
      <c r="D16" s="25">
        <v>14.26</v>
      </c>
      <c r="E16" s="10">
        <f t="shared" si="1"/>
        <v>94.199336809383993</v>
      </c>
      <c r="F16" s="26">
        <v>0</v>
      </c>
    </row>
    <row r="17" spans="1:6" ht="15.75" thickBot="1" x14ac:dyDescent="0.3">
      <c r="A17" s="30">
        <v>14</v>
      </c>
      <c r="B17" s="24">
        <v>14</v>
      </c>
      <c r="C17" s="10">
        <f t="shared" si="0"/>
        <v>-96.67600011799999</v>
      </c>
      <c r="D17" s="25">
        <v>15.21</v>
      </c>
      <c r="E17" s="10">
        <f t="shared" si="1"/>
        <v>94.954557915224001</v>
      </c>
      <c r="F17" s="26">
        <v>0</v>
      </c>
    </row>
    <row r="18" spans="1:6" ht="15.75" thickBot="1" x14ac:dyDescent="0.3">
      <c r="A18" s="30">
        <v>15</v>
      </c>
      <c r="B18" s="24">
        <v>15</v>
      </c>
      <c r="C18" s="10">
        <f t="shared" si="0"/>
        <v>-96.67600011799999</v>
      </c>
      <c r="D18" s="25">
        <v>15.79</v>
      </c>
      <c r="E18" s="10">
        <f t="shared" si="1"/>
        <v>95.783459022017013</v>
      </c>
      <c r="F18" s="26">
        <v>0</v>
      </c>
    </row>
    <row r="19" spans="1:6" ht="15.75" thickBot="1" x14ac:dyDescent="0.3">
      <c r="A19" s="30">
        <v>16</v>
      </c>
      <c r="B19" s="24">
        <v>16</v>
      </c>
      <c r="C19" s="10">
        <f t="shared" si="0"/>
        <v>-96.666744026854005</v>
      </c>
      <c r="D19" s="25">
        <v>16</v>
      </c>
      <c r="E19" s="10">
        <f t="shared" si="1"/>
        <v>96.620366704448003</v>
      </c>
      <c r="F19" s="26">
        <v>0</v>
      </c>
    </row>
    <row r="20" spans="1:6" ht="15.75" thickBot="1" x14ac:dyDescent="0.3">
      <c r="A20" s="30">
        <v>17</v>
      </c>
      <c r="B20" s="24">
        <v>17</v>
      </c>
      <c r="C20" s="10">
        <f t="shared" si="0"/>
        <v>-96.67600011799999</v>
      </c>
      <c r="D20" s="25">
        <v>16</v>
      </c>
      <c r="E20" s="10">
        <f t="shared" si="1"/>
        <v>97.45852332336699</v>
      </c>
      <c r="F20" s="26">
        <v>0</v>
      </c>
    </row>
    <row r="21" spans="1:6" ht="15.75" thickBot="1" x14ac:dyDescent="0.3">
      <c r="A21" s="30">
        <v>18</v>
      </c>
      <c r="B21" s="24">
        <v>18</v>
      </c>
      <c r="C21" s="10">
        <f t="shared" si="0"/>
        <v>-96.67600011799999</v>
      </c>
      <c r="D21" s="25">
        <v>16</v>
      </c>
      <c r="E21" s="10">
        <f t="shared" si="1"/>
        <v>98.290417498300997</v>
      </c>
      <c r="F21" s="26">
        <v>0</v>
      </c>
    </row>
    <row r="22" spans="1:6" ht="15.75" thickBot="1" x14ac:dyDescent="0.3">
      <c r="A22" s="30">
        <v>19</v>
      </c>
      <c r="B22" s="24">
        <v>19</v>
      </c>
      <c r="C22" s="10">
        <f t="shared" si="0"/>
        <v>-96.67600011799999</v>
      </c>
      <c r="D22" s="25">
        <v>16</v>
      </c>
      <c r="E22" s="10">
        <f t="shared" si="1"/>
        <v>99.101726928305993</v>
      </c>
      <c r="F22" s="26">
        <v>0</v>
      </c>
    </row>
    <row r="23" spans="1:6" ht="15.75" thickBot="1" x14ac:dyDescent="0.3">
      <c r="A23" s="30">
        <v>20</v>
      </c>
      <c r="B23" s="27">
        <v>20</v>
      </c>
      <c r="C23" s="34">
        <f t="shared" si="0"/>
        <v>-96.67600011799999</v>
      </c>
      <c r="D23" s="28">
        <v>16</v>
      </c>
      <c r="E23" s="34">
        <f t="shared" si="1"/>
        <v>99.63996877167699</v>
      </c>
      <c r="F23" s="29">
        <v>0</v>
      </c>
    </row>
    <row r="41" spans="2:8" x14ac:dyDescent="0.25">
      <c r="B41" s="38" t="s">
        <v>66</v>
      </c>
      <c r="C41" s="38" t="s">
        <v>67</v>
      </c>
      <c r="D41" s="38" t="s">
        <v>68</v>
      </c>
      <c r="E41" s="38">
        <v>7.2246038601115599</v>
      </c>
      <c r="F41" s="38">
        <v>1.0092040802009199</v>
      </c>
      <c r="G41" s="38" t="s">
        <v>69</v>
      </c>
      <c r="H41" s="38">
        <v>0</v>
      </c>
    </row>
    <row r="42" spans="2:8" x14ac:dyDescent="0.25">
      <c r="B42" s="38" t="s">
        <v>66</v>
      </c>
      <c r="C42" s="38" t="s">
        <v>70</v>
      </c>
      <c r="D42" s="38" t="s">
        <v>68</v>
      </c>
      <c r="E42" s="38">
        <v>5.5888909150790997</v>
      </c>
      <c r="F42" s="38">
        <v>2.00771953640947</v>
      </c>
      <c r="G42" s="38" t="s">
        <v>69</v>
      </c>
      <c r="H42" s="38">
        <v>1.9164000000000001</v>
      </c>
    </row>
    <row r="43" spans="2:8" x14ac:dyDescent="0.25">
      <c r="B43" s="38" t="s">
        <v>66</v>
      </c>
      <c r="C43" s="38" t="s">
        <v>71</v>
      </c>
      <c r="D43" s="38" t="s">
        <v>68</v>
      </c>
      <c r="E43" s="38">
        <v>4.6630001069999798</v>
      </c>
      <c r="F43" s="38">
        <v>3.0068792144844898</v>
      </c>
      <c r="G43" s="38" t="s">
        <v>69</v>
      </c>
      <c r="H43" s="38">
        <v>3.2786</v>
      </c>
    </row>
    <row r="44" spans="2:8" x14ac:dyDescent="0.25">
      <c r="B44" s="38" t="s">
        <v>66</v>
      </c>
      <c r="C44" s="38" t="s">
        <v>72</v>
      </c>
      <c r="D44" s="38" t="s">
        <v>68</v>
      </c>
      <c r="E44" s="38">
        <v>5.0557799420569003</v>
      </c>
      <c r="F44" s="38">
        <v>4.0072356944324596</v>
      </c>
      <c r="G44" s="38" t="s">
        <v>69</v>
      </c>
      <c r="H44" s="38">
        <v>4.3533099999999996</v>
      </c>
    </row>
    <row r="45" spans="2:8" x14ac:dyDescent="0.25">
      <c r="B45" s="38" t="s">
        <v>66</v>
      </c>
      <c r="C45" s="38" t="s">
        <v>73</v>
      </c>
      <c r="D45" s="38" t="s">
        <v>68</v>
      </c>
      <c r="E45" s="38">
        <v>6.7305489414603299</v>
      </c>
      <c r="F45" s="38">
        <v>5.0087556847997901</v>
      </c>
      <c r="G45" s="38" t="s">
        <v>69</v>
      </c>
      <c r="H45" s="38">
        <v>6.3046899999999999</v>
      </c>
    </row>
    <row r="46" spans="2:8" x14ac:dyDescent="0.25">
      <c r="B46" s="38" t="s">
        <v>66</v>
      </c>
      <c r="C46" s="38" t="s">
        <v>74</v>
      </c>
      <c r="D46" s="38" t="s">
        <v>68</v>
      </c>
      <c r="E46" s="38">
        <v>6.8396980805513596</v>
      </c>
      <c r="F46" s="38">
        <v>6.0088547466047801</v>
      </c>
      <c r="G46" s="38" t="s">
        <v>69</v>
      </c>
      <c r="H46" s="38">
        <v>7.3107300000000004</v>
      </c>
    </row>
    <row r="47" spans="2:8" x14ac:dyDescent="0.25">
      <c r="B47" s="38" t="s">
        <v>66</v>
      </c>
      <c r="C47" s="38" t="s">
        <v>75</v>
      </c>
      <c r="D47" s="38" t="s">
        <v>68</v>
      </c>
      <c r="E47" s="38">
        <v>6.16275003563669</v>
      </c>
      <c r="F47" s="38">
        <v>7.0082403606758401</v>
      </c>
      <c r="G47" s="38" t="s">
        <v>69</v>
      </c>
      <c r="H47" s="38">
        <v>8.5177999999999994</v>
      </c>
    </row>
    <row r="48" spans="2:8" x14ac:dyDescent="0.25">
      <c r="B48" s="38" t="s">
        <v>66</v>
      </c>
      <c r="C48" s="38" t="s">
        <v>76</v>
      </c>
      <c r="D48" s="38" t="s">
        <v>68</v>
      </c>
      <c r="E48" s="38">
        <v>3.9553807677881498</v>
      </c>
      <c r="F48" s="38">
        <v>8.0062369918378309</v>
      </c>
      <c r="G48" s="38" t="s">
        <v>69</v>
      </c>
      <c r="H48" s="38">
        <v>10.940300000000001</v>
      </c>
    </row>
    <row r="49" spans="2:8" x14ac:dyDescent="0.25">
      <c r="B49" s="38" t="s">
        <v>66</v>
      </c>
      <c r="C49" s="38" t="s">
        <v>77</v>
      </c>
      <c r="D49" s="38" t="s">
        <v>68</v>
      </c>
      <c r="E49" s="38">
        <v>-1.0320991380492599</v>
      </c>
      <c r="F49" s="38">
        <v>8.9837904134920699</v>
      </c>
      <c r="G49" s="38" t="s">
        <v>69</v>
      </c>
      <c r="H49" s="38">
        <v>16.0227</v>
      </c>
    </row>
    <row r="50" spans="2:8" x14ac:dyDescent="0.25">
      <c r="B50" s="38" t="s">
        <v>66</v>
      </c>
      <c r="C50" s="38" t="s">
        <v>78</v>
      </c>
      <c r="D50" s="38" t="s">
        <v>68</v>
      </c>
      <c r="E50" s="38">
        <v>-4.1760001179999904</v>
      </c>
      <c r="F50" s="38">
        <v>9.9988570960886793</v>
      </c>
      <c r="G50" s="38" t="s">
        <v>69</v>
      </c>
      <c r="H50" s="38">
        <v>19.3264</v>
      </c>
    </row>
    <row r="51" spans="2:8" x14ac:dyDescent="0.25">
      <c r="B51" s="38" t="s">
        <v>79</v>
      </c>
      <c r="C51" s="38"/>
      <c r="D51" s="38" t="s">
        <v>68</v>
      </c>
      <c r="E51" s="38">
        <v>-4.1760001179999904</v>
      </c>
      <c r="F51" s="38">
        <v>10.998857096088599</v>
      </c>
      <c r="G51" s="38" t="s">
        <v>69</v>
      </c>
      <c r="H51" s="38">
        <v>20.3264</v>
      </c>
    </row>
    <row r="52" spans="2:8" x14ac:dyDescent="0.25">
      <c r="B52" s="38" t="s">
        <v>80</v>
      </c>
      <c r="C52" s="38"/>
      <c r="D52" s="38" t="s">
        <v>68</v>
      </c>
      <c r="E52" s="38">
        <v>-4.1760001179999904</v>
      </c>
      <c r="F52" s="38">
        <v>11.998857096088599</v>
      </c>
      <c r="G52" s="38" t="s">
        <v>69</v>
      </c>
      <c r="H52" s="38">
        <v>21.3264</v>
      </c>
    </row>
    <row r="53" spans="2:8" x14ac:dyDescent="0.25">
      <c r="B53" s="38" t="s">
        <v>81</v>
      </c>
      <c r="C53" s="38"/>
      <c r="D53" s="38" t="s">
        <v>68</v>
      </c>
      <c r="E53" s="38">
        <v>-4.1760001179999904</v>
      </c>
      <c r="F53" s="38">
        <v>12.998857096088599</v>
      </c>
      <c r="G53" s="38" t="s">
        <v>69</v>
      </c>
      <c r="H53" s="38">
        <v>22.3264</v>
      </c>
    </row>
    <row r="54" spans="2:8" x14ac:dyDescent="0.25">
      <c r="B54" s="38" t="s">
        <v>82</v>
      </c>
      <c r="C54" s="38"/>
      <c r="D54" s="38" t="s">
        <v>68</v>
      </c>
      <c r="E54" s="38">
        <v>-4.1760001179999904</v>
      </c>
      <c r="F54" s="38">
        <v>13.998857096088599</v>
      </c>
      <c r="G54" s="38" t="s">
        <v>69</v>
      </c>
      <c r="H54" s="38">
        <v>23.3264</v>
      </c>
    </row>
    <row r="55" spans="2:8" x14ac:dyDescent="0.25">
      <c r="B55" s="38" t="s">
        <v>83</v>
      </c>
      <c r="C55" s="38"/>
      <c r="D55" s="38" t="s">
        <v>68</v>
      </c>
      <c r="E55" s="38">
        <v>-4.1760001179999904</v>
      </c>
      <c r="F55" s="38">
        <v>14.998857096088599</v>
      </c>
      <c r="G55" s="38" t="s">
        <v>69</v>
      </c>
      <c r="H55" s="38">
        <v>24.3264</v>
      </c>
    </row>
    <row r="56" spans="2:8" x14ac:dyDescent="0.25">
      <c r="B56" s="38" t="s">
        <v>84</v>
      </c>
      <c r="C56" s="38"/>
      <c r="D56" s="38" t="s">
        <v>68</v>
      </c>
      <c r="E56" s="38">
        <v>-4.1667440268540004</v>
      </c>
      <c r="F56" s="38">
        <v>15.9988654967517</v>
      </c>
      <c r="G56" s="38" t="s">
        <v>69</v>
      </c>
      <c r="H56" s="38">
        <v>25.3264</v>
      </c>
    </row>
    <row r="57" spans="2:8" x14ac:dyDescent="0.25">
      <c r="B57" s="38" t="s">
        <v>85</v>
      </c>
      <c r="C57" s="38"/>
      <c r="D57" s="38" t="s">
        <v>68</v>
      </c>
      <c r="E57" s="38">
        <v>-4.1760001179999904</v>
      </c>
      <c r="F57" s="38">
        <v>16.998857096088599</v>
      </c>
      <c r="G57" s="38" t="s">
        <v>69</v>
      </c>
      <c r="H57" s="38">
        <v>26.326499999999999</v>
      </c>
    </row>
    <row r="58" spans="2:8" x14ac:dyDescent="0.25">
      <c r="B58" s="38" t="s">
        <v>86</v>
      </c>
      <c r="C58" s="38"/>
      <c r="D58" s="38" t="s">
        <v>68</v>
      </c>
      <c r="E58" s="38">
        <v>-4.1760001179999904</v>
      </c>
      <c r="F58" s="38">
        <v>17.998857096088599</v>
      </c>
      <c r="G58" s="38" t="s">
        <v>69</v>
      </c>
      <c r="H58" s="38">
        <v>27.326499999999999</v>
      </c>
    </row>
    <row r="59" spans="2:8" x14ac:dyDescent="0.25">
      <c r="B59" s="38" t="s">
        <v>87</v>
      </c>
      <c r="C59" s="38"/>
      <c r="D59" s="38" t="s">
        <v>68</v>
      </c>
      <c r="E59" s="38">
        <v>-4.1760001179999904</v>
      </c>
      <c r="F59" s="38">
        <v>18.998857096088599</v>
      </c>
      <c r="G59" s="38" t="s">
        <v>69</v>
      </c>
      <c r="H59" s="38">
        <v>28.326499999999999</v>
      </c>
    </row>
    <row r="60" spans="2:8" x14ac:dyDescent="0.25">
      <c r="B60" s="38" t="s">
        <v>88</v>
      </c>
      <c r="C60" s="38"/>
      <c r="D60" s="38" t="s">
        <v>68</v>
      </c>
      <c r="E60" s="38">
        <v>-4.1760001179999904</v>
      </c>
      <c r="F60" s="38">
        <v>19.629080656119001</v>
      </c>
      <c r="G60" s="38" t="s">
        <v>69</v>
      </c>
      <c r="H60" s="38">
        <v>28.956700000000001</v>
      </c>
    </row>
    <row r="66" spans="2:8" x14ac:dyDescent="0.25">
      <c r="B66" s="39" t="s">
        <v>66</v>
      </c>
      <c r="C66" s="39" t="s">
        <v>67</v>
      </c>
      <c r="D66" s="39" t="s">
        <v>68</v>
      </c>
      <c r="E66" s="39">
        <v>186.282489911033</v>
      </c>
      <c r="F66" s="39">
        <v>1.17171381264273</v>
      </c>
      <c r="G66" s="39" t="s">
        <v>69</v>
      </c>
      <c r="H66" s="39">
        <v>0</v>
      </c>
    </row>
    <row r="67" spans="2:8" x14ac:dyDescent="0.25">
      <c r="B67" s="39" t="s">
        <v>66</v>
      </c>
      <c r="C67" s="39" t="s">
        <v>70</v>
      </c>
      <c r="D67" s="39" t="s">
        <v>68</v>
      </c>
      <c r="E67" s="39">
        <v>188.64915892425299</v>
      </c>
      <c r="F67" s="39">
        <v>2.1738617590768099</v>
      </c>
      <c r="G67" s="39" t="s">
        <v>69</v>
      </c>
      <c r="H67" s="39">
        <v>2.5701000000000001</v>
      </c>
    </row>
    <row r="68" spans="2:8" x14ac:dyDescent="0.25">
      <c r="B68" s="39" t="s">
        <v>66</v>
      </c>
      <c r="C68" s="39" t="s">
        <v>71</v>
      </c>
      <c r="D68" s="39" t="s">
        <v>68</v>
      </c>
      <c r="E68" s="39">
        <v>190.23754365502501</v>
      </c>
      <c r="F68" s="39">
        <v>3.1753033486284701</v>
      </c>
      <c r="G68" s="39" t="s">
        <v>69</v>
      </c>
      <c r="H68" s="39">
        <v>4.4478299999999997</v>
      </c>
    </row>
    <row r="69" spans="2:8" x14ac:dyDescent="0.25">
      <c r="B69" s="39" t="s">
        <v>66</v>
      </c>
      <c r="C69" s="39" t="s">
        <v>72</v>
      </c>
      <c r="D69" s="39" t="s">
        <v>68</v>
      </c>
      <c r="E69" s="39">
        <v>191.331212682472</v>
      </c>
      <c r="F69" s="39">
        <v>4.17629594306195</v>
      </c>
      <c r="G69" s="39" t="s">
        <v>69</v>
      </c>
      <c r="H69" s="39">
        <v>5.9304300000000003</v>
      </c>
    </row>
    <row r="70" spans="2:8" x14ac:dyDescent="0.25">
      <c r="B70" s="39" t="s">
        <v>66</v>
      </c>
      <c r="C70" s="39" t="s">
        <v>73</v>
      </c>
      <c r="D70" s="39" t="s">
        <v>68</v>
      </c>
      <c r="E70" s="39">
        <v>192.019261304293</v>
      </c>
      <c r="F70" s="39">
        <v>5.1769204036758003</v>
      </c>
      <c r="G70" s="39" t="s">
        <v>69</v>
      </c>
      <c r="H70" s="39">
        <v>7.1447799999999999</v>
      </c>
    </row>
    <row r="71" spans="2:8" x14ac:dyDescent="0.25">
      <c r="B71" s="39" t="s">
        <v>66</v>
      </c>
      <c r="C71" s="39" t="s">
        <v>74</v>
      </c>
      <c r="D71" s="39" t="s">
        <v>68</v>
      </c>
      <c r="E71" s="39">
        <v>192.37380489799199</v>
      </c>
      <c r="F71" s="39">
        <v>6.1772421810955001</v>
      </c>
      <c r="G71" s="39" t="s">
        <v>69</v>
      </c>
      <c r="H71" s="39">
        <v>8.2060700000000004</v>
      </c>
    </row>
    <row r="72" spans="2:8" x14ac:dyDescent="0.25">
      <c r="B72" s="39" t="s">
        <v>66</v>
      </c>
      <c r="C72" s="39" t="s">
        <v>75</v>
      </c>
      <c r="D72" s="39" t="s">
        <v>68</v>
      </c>
      <c r="E72" s="39">
        <v>192.36438478029601</v>
      </c>
      <c r="F72" s="39">
        <v>7.17723363156529</v>
      </c>
      <c r="G72" s="39" t="s">
        <v>69</v>
      </c>
      <c r="H72" s="39">
        <v>9.2061100000000007</v>
      </c>
    </row>
    <row r="73" spans="2:8" x14ac:dyDescent="0.25">
      <c r="B73" s="39" t="s">
        <v>66</v>
      </c>
      <c r="C73" s="39" t="s">
        <v>76</v>
      </c>
      <c r="D73" s="39" t="s">
        <v>68</v>
      </c>
      <c r="E73" s="39">
        <v>191.802465703949</v>
      </c>
      <c r="F73" s="39">
        <v>8.1767236438693303</v>
      </c>
      <c r="G73" s="39" t="s">
        <v>69</v>
      </c>
      <c r="H73" s="39">
        <v>10.3527</v>
      </c>
    </row>
    <row r="74" spans="2:8" x14ac:dyDescent="0.25">
      <c r="B74" s="39" t="s">
        <v>66</v>
      </c>
      <c r="C74" s="39" t="s">
        <v>77</v>
      </c>
      <c r="D74" s="39" t="s">
        <v>68</v>
      </c>
      <c r="E74" s="39">
        <v>184.99967202716499</v>
      </c>
      <c r="F74" s="39">
        <v>9.1705495500908203</v>
      </c>
      <c r="G74" s="39" t="s">
        <v>69</v>
      </c>
      <c r="H74" s="39">
        <v>17.227699999999999</v>
      </c>
    </row>
    <row r="75" spans="2:8" x14ac:dyDescent="0.25">
      <c r="B75" s="39" t="s">
        <v>66</v>
      </c>
      <c r="C75" s="39" t="s">
        <v>78</v>
      </c>
      <c r="D75" s="39" t="s">
        <v>68</v>
      </c>
      <c r="E75" s="39">
        <v>185.193117345692</v>
      </c>
      <c r="F75" s="39">
        <v>10.1707251175994</v>
      </c>
      <c r="G75" s="39" t="s">
        <v>69</v>
      </c>
      <c r="H75" s="39">
        <v>18.246400000000001</v>
      </c>
    </row>
    <row r="76" spans="2:8" x14ac:dyDescent="0.25">
      <c r="B76" s="39" t="s">
        <v>79</v>
      </c>
      <c r="C76" s="39"/>
      <c r="D76" s="39" t="s">
        <v>68</v>
      </c>
      <c r="E76" s="39">
        <v>185.563641338998</v>
      </c>
      <c r="F76" s="39">
        <v>11.171061398543801</v>
      </c>
      <c r="G76" s="39" t="s">
        <v>69</v>
      </c>
      <c r="H76" s="39">
        <v>19.313199999999998</v>
      </c>
    </row>
    <row r="77" spans="2:8" x14ac:dyDescent="0.25">
      <c r="B77" s="39" t="s">
        <v>80</v>
      </c>
      <c r="C77" s="39"/>
      <c r="D77" s="39" t="s">
        <v>68</v>
      </c>
      <c r="E77" s="39">
        <v>186.066337343751</v>
      </c>
      <c r="F77" s="39">
        <v>12.171517636440001</v>
      </c>
      <c r="G77" s="39" t="s">
        <v>69</v>
      </c>
      <c r="H77" s="39">
        <v>20.4328</v>
      </c>
    </row>
    <row r="78" spans="2:8" x14ac:dyDescent="0.25">
      <c r="B78" s="39" t="s">
        <v>81</v>
      </c>
      <c r="C78" s="39"/>
      <c r="D78" s="39" t="s">
        <v>68</v>
      </c>
      <c r="E78" s="39">
        <v>186.69933680938399</v>
      </c>
      <c r="F78" s="39">
        <v>13.172092135425</v>
      </c>
      <c r="G78" s="39" t="s">
        <v>69</v>
      </c>
      <c r="H78" s="39">
        <v>21.616800000000001</v>
      </c>
    </row>
    <row r="79" spans="2:8" x14ac:dyDescent="0.25">
      <c r="B79" s="39" t="s">
        <v>82</v>
      </c>
      <c r="C79" s="39"/>
      <c r="D79" s="39" t="s">
        <v>68</v>
      </c>
      <c r="E79" s="39">
        <v>187.454557915224</v>
      </c>
      <c r="F79" s="39">
        <v>14.172777560583</v>
      </c>
      <c r="G79" s="39" t="s">
        <v>69</v>
      </c>
      <c r="H79" s="39">
        <v>22.8705</v>
      </c>
    </row>
    <row r="80" spans="2:8" x14ac:dyDescent="0.25">
      <c r="B80" s="39" t="s">
        <v>83</v>
      </c>
      <c r="C80" s="39"/>
      <c r="D80" s="39" t="s">
        <v>68</v>
      </c>
      <c r="E80" s="39">
        <v>188.28345902201701</v>
      </c>
      <c r="F80" s="39">
        <v>15.173529856391101</v>
      </c>
      <c r="G80" s="39" t="s">
        <v>69</v>
      </c>
      <c r="H80" s="39">
        <v>24.17</v>
      </c>
    </row>
    <row r="81" spans="2:8" x14ac:dyDescent="0.25">
      <c r="B81" s="39" t="s">
        <v>84</v>
      </c>
      <c r="C81" s="39"/>
      <c r="D81" s="39" t="s">
        <v>68</v>
      </c>
      <c r="E81" s="39">
        <v>189.120366704448</v>
      </c>
      <c r="F81" s="39">
        <v>16.1819573523813</v>
      </c>
      <c r="G81" s="39" t="s">
        <v>69</v>
      </c>
      <c r="H81" s="39">
        <v>25.480499999999999</v>
      </c>
    </row>
    <row r="82" spans="2:8" x14ac:dyDescent="0.25">
      <c r="B82" s="39" t="s">
        <v>85</v>
      </c>
      <c r="C82" s="39"/>
      <c r="D82" s="39" t="s">
        <v>68</v>
      </c>
      <c r="E82" s="39">
        <v>189.95852332336699</v>
      </c>
      <c r="F82" s="39">
        <v>17.191891352638201</v>
      </c>
      <c r="G82" s="39" t="s">
        <v>69</v>
      </c>
      <c r="H82" s="39">
        <v>26.792899999999999</v>
      </c>
    </row>
    <row r="83" spans="2:8" x14ac:dyDescent="0.25">
      <c r="B83" s="39" t="s">
        <v>86</v>
      </c>
      <c r="C83" s="39"/>
      <c r="D83" s="39" t="s">
        <v>68</v>
      </c>
      <c r="E83" s="39">
        <v>190.790417498301</v>
      </c>
      <c r="F83" s="39">
        <v>18.194280645117001</v>
      </c>
      <c r="G83" s="39" t="s">
        <v>69</v>
      </c>
      <c r="H83" s="39">
        <v>28.095500000000001</v>
      </c>
    </row>
    <row r="84" spans="2:8" x14ac:dyDescent="0.25">
      <c r="B84" s="39" t="s">
        <v>87</v>
      </c>
      <c r="C84" s="39"/>
      <c r="D84" s="39" t="s">
        <v>68</v>
      </c>
      <c r="E84" s="39">
        <v>191.60172692830599</v>
      </c>
      <c r="F84" s="39">
        <v>19.171864007804398</v>
      </c>
      <c r="G84" s="39" t="s">
        <v>69</v>
      </c>
      <c r="H84" s="39">
        <v>29.3659</v>
      </c>
    </row>
    <row r="85" spans="2:8" x14ac:dyDescent="0.25">
      <c r="B85" s="39" t="s">
        <v>88</v>
      </c>
      <c r="C85" s="39"/>
      <c r="D85" s="39" t="s">
        <v>68</v>
      </c>
      <c r="E85" s="39">
        <v>192.13996877167699</v>
      </c>
      <c r="F85" s="39">
        <v>19.820420266624598</v>
      </c>
      <c r="G85" s="39" t="s">
        <v>69</v>
      </c>
      <c r="H85" s="39">
        <v>30.2087</v>
      </c>
    </row>
  </sheetData>
  <mergeCells count="4">
    <mergeCell ref="E1:F1"/>
    <mergeCell ref="C1:D1"/>
    <mergeCell ref="A1:A2"/>
    <mergeCell ref="B1:B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272F-AB02-4021-AC57-E0D4E1B03D03}">
  <dimension ref="A1:O30"/>
  <sheetViews>
    <sheetView workbookViewId="0">
      <selection activeCell="Q30" sqref="Q30"/>
    </sheetView>
  </sheetViews>
  <sheetFormatPr defaultRowHeight="15" x14ac:dyDescent="0.25"/>
  <cols>
    <col min="1" max="1" width="9.42578125" style="35" bestFit="1" customWidth="1"/>
    <col min="2" max="11" width="9.5703125" style="35" bestFit="1" customWidth="1"/>
    <col min="12" max="12" width="14.85546875" style="35" bestFit="1" customWidth="1"/>
    <col min="13" max="15" width="9.5703125" style="35" bestFit="1" customWidth="1"/>
    <col min="16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31">
        <v>-81.02</v>
      </c>
      <c r="C2" s="32" t="s">
        <v>9</v>
      </c>
      <c r="D2" s="32">
        <v>0</v>
      </c>
      <c r="E2" s="32" t="s">
        <v>9</v>
      </c>
      <c r="F2" s="32" t="s">
        <v>9</v>
      </c>
      <c r="G2" s="32">
        <f>B2*D2</f>
        <v>0</v>
      </c>
      <c r="H2" s="32" t="s">
        <v>9</v>
      </c>
      <c r="I2" s="32">
        <v>0</v>
      </c>
      <c r="J2" s="32">
        <v>0</v>
      </c>
      <c r="K2" s="32" t="s">
        <v>9</v>
      </c>
      <c r="L2" s="32" t="s">
        <v>9</v>
      </c>
      <c r="M2" s="32">
        <f>B2^2*D2</f>
        <v>0</v>
      </c>
      <c r="N2" s="32" t="s">
        <v>9</v>
      </c>
      <c r="O2" s="33" t="s">
        <v>9</v>
      </c>
    </row>
    <row r="3" spans="1:15" ht="15.75" thickBot="1" x14ac:dyDescent="0.3">
      <c r="A3" s="30">
        <v>2</v>
      </c>
      <c r="B3" s="24">
        <v>-74</v>
      </c>
      <c r="C3" s="25">
        <f>B3-B2</f>
        <v>7.019999999999996</v>
      </c>
      <c r="D3" s="25">
        <v>0.44993</v>
      </c>
      <c r="E3" s="25">
        <f>D3+D2</f>
        <v>0.44993</v>
      </c>
      <c r="F3" s="25">
        <f>C3*E3/2</f>
        <v>1.579254299999999</v>
      </c>
      <c r="G3" s="25">
        <f t="shared" ref="G3:G21" si="0">B3*D3</f>
        <v>-33.294820000000001</v>
      </c>
      <c r="H3" s="25">
        <f>G2+G3</f>
        <v>-33.294820000000001</v>
      </c>
      <c r="I3" s="25">
        <f>C3*H3/2</f>
        <v>-116.86481819999995</v>
      </c>
      <c r="J3" s="25">
        <f>D3^3</f>
        <v>9.1082481614656999E-2</v>
      </c>
      <c r="K3" s="25">
        <f>J3+J2</f>
        <v>9.1082481614656999E-2</v>
      </c>
      <c r="L3" s="25">
        <f>C3*K3/2</f>
        <v>0.31969951046744588</v>
      </c>
      <c r="M3" s="25">
        <f t="shared" ref="M3:M21" si="1">B3^2*D3</f>
        <v>2463.8166799999999</v>
      </c>
      <c r="N3" s="25">
        <f>M2+M3</f>
        <v>2463.8166799999999</v>
      </c>
      <c r="O3" s="26">
        <f>C3*N3/2</f>
        <v>8647.9965467999955</v>
      </c>
    </row>
    <row r="4" spans="1:15" ht="15.75" thickBot="1" x14ac:dyDescent="0.3">
      <c r="A4" s="30">
        <v>3</v>
      </c>
      <c r="B4" s="24">
        <v>-64.75</v>
      </c>
      <c r="C4" s="25">
        <f t="shared" ref="C4:C21" si="2">B4-B3</f>
        <v>9.25</v>
      </c>
      <c r="D4" s="25">
        <v>0.45013999999999998</v>
      </c>
      <c r="E4" s="25">
        <f t="shared" ref="E4:E21" si="3">D4+D3</f>
        <v>0.90006999999999993</v>
      </c>
      <c r="F4" s="25">
        <f t="shared" ref="F4:F21" si="4">C4*E4/2</f>
        <v>4.1628237499999994</v>
      </c>
      <c r="G4" s="25">
        <f t="shared" si="0"/>
        <v>-29.146564999999999</v>
      </c>
      <c r="H4" s="25">
        <f t="shared" ref="H4:H21" si="5">G3+G4</f>
        <v>-62.441384999999997</v>
      </c>
      <c r="I4" s="25">
        <f t="shared" ref="I4:I21" si="6">C4*H4/2</f>
        <v>-288.79140562499998</v>
      </c>
      <c r="J4" s="25">
        <f t="shared" ref="J4:J21" si="7">D4^3</f>
        <v>9.1210076462743983E-2</v>
      </c>
      <c r="K4" s="25">
        <f t="shared" ref="K4:K21" si="8">J4+J3</f>
        <v>0.18229255807740097</v>
      </c>
      <c r="L4" s="25">
        <f t="shared" ref="L4:L21" si="9">C4*K4/2</f>
        <v>0.84310308110797949</v>
      </c>
      <c r="M4" s="25">
        <f t="shared" si="1"/>
        <v>1887.2400837499999</v>
      </c>
      <c r="N4" s="25">
        <f t="shared" ref="N4:N21" si="10">M3+M4</f>
        <v>4351.0567637499998</v>
      </c>
      <c r="O4" s="26">
        <f t="shared" ref="O4:O21" si="11">C4*N4/2</f>
        <v>20123.63753234375</v>
      </c>
    </row>
    <row r="5" spans="1:15" ht="15.75" thickBot="1" x14ac:dyDescent="0.3">
      <c r="A5" s="30">
        <v>4</v>
      </c>
      <c r="B5" s="24">
        <v>-55.5</v>
      </c>
      <c r="C5" s="25">
        <f t="shared" si="2"/>
        <v>9.25</v>
      </c>
      <c r="D5" s="25">
        <v>0.40876000000000001</v>
      </c>
      <c r="E5" s="25">
        <f t="shared" si="3"/>
        <v>0.8589</v>
      </c>
      <c r="F5" s="25">
        <f t="shared" si="4"/>
        <v>3.9724124999999999</v>
      </c>
      <c r="G5" s="25">
        <f t="shared" si="0"/>
        <v>-22.68618</v>
      </c>
      <c r="H5" s="25">
        <f t="shared" si="5"/>
        <v>-51.832745000000003</v>
      </c>
      <c r="I5" s="25">
        <f t="shared" si="6"/>
        <v>-239.72644562500003</v>
      </c>
      <c r="J5" s="25">
        <f t="shared" si="7"/>
        <v>6.8297557341376006E-2</v>
      </c>
      <c r="K5" s="25">
        <f t="shared" si="8"/>
        <v>0.15950763380411997</v>
      </c>
      <c r="L5" s="25">
        <f t="shared" si="9"/>
        <v>0.73772280634405485</v>
      </c>
      <c r="M5" s="25">
        <f t="shared" si="1"/>
        <v>1259.0829900000001</v>
      </c>
      <c r="N5" s="25">
        <f t="shared" si="10"/>
        <v>3146.3230737499998</v>
      </c>
      <c r="O5" s="26">
        <f t="shared" si="11"/>
        <v>14551.74421609375</v>
      </c>
    </row>
    <row r="6" spans="1:15" ht="15.75" thickBot="1" x14ac:dyDescent="0.3">
      <c r="A6" s="30">
        <v>5</v>
      </c>
      <c r="B6" s="24">
        <v>-46.25</v>
      </c>
      <c r="C6" s="25">
        <f t="shared" si="2"/>
        <v>9.25</v>
      </c>
      <c r="D6" s="25">
        <v>1.2</v>
      </c>
      <c r="E6" s="25">
        <f t="shared" si="3"/>
        <v>1.60876</v>
      </c>
      <c r="F6" s="25">
        <f t="shared" si="4"/>
        <v>7.4405149999999995</v>
      </c>
      <c r="G6" s="25">
        <f t="shared" si="0"/>
        <v>-55.5</v>
      </c>
      <c r="H6" s="25">
        <f t="shared" si="5"/>
        <v>-78.186180000000007</v>
      </c>
      <c r="I6" s="25">
        <f t="shared" si="6"/>
        <v>-361.61108250000001</v>
      </c>
      <c r="J6" s="25">
        <f t="shared" si="7"/>
        <v>1.728</v>
      </c>
      <c r="K6" s="25">
        <f t="shared" si="8"/>
        <v>1.796297557341376</v>
      </c>
      <c r="L6" s="25">
        <f t="shared" si="9"/>
        <v>8.3078762027038646</v>
      </c>
      <c r="M6" s="25">
        <f t="shared" si="1"/>
        <v>2566.875</v>
      </c>
      <c r="N6" s="25">
        <f t="shared" si="10"/>
        <v>3825.9579899999999</v>
      </c>
      <c r="O6" s="26">
        <f t="shared" si="11"/>
        <v>17695.05570375</v>
      </c>
    </row>
    <row r="7" spans="1:15" ht="15.75" thickBot="1" x14ac:dyDescent="0.3">
      <c r="A7" s="30">
        <v>6</v>
      </c>
      <c r="B7" s="24">
        <v>-37</v>
      </c>
      <c r="C7" s="25">
        <f t="shared" si="2"/>
        <v>9.25</v>
      </c>
      <c r="D7" s="25">
        <v>3.4156</v>
      </c>
      <c r="E7" s="25">
        <f t="shared" si="3"/>
        <v>4.6155999999999997</v>
      </c>
      <c r="F7" s="25">
        <f t="shared" si="4"/>
        <v>21.347149999999999</v>
      </c>
      <c r="G7" s="25">
        <f t="shared" si="0"/>
        <v>-126.3772</v>
      </c>
      <c r="H7" s="25">
        <f t="shared" si="5"/>
        <v>-181.87720000000002</v>
      </c>
      <c r="I7" s="25">
        <f t="shared" si="6"/>
        <v>-841.18205000000012</v>
      </c>
      <c r="J7" s="25">
        <f t="shared" si="7"/>
        <v>39.847494068415998</v>
      </c>
      <c r="K7" s="25">
        <f t="shared" si="8"/>
        <v>41.575494068415999</v>
      </c>
      <c r="L7" s="25">
        <f t="shared" si="9"/>
        <v>192.28666006642399</v>
      </c>
      <c r="M7" s="25">
        <f t="shared" si="1"/>
        <v>4675.9564</v>
      </c>
      <c r="N7" s="25">
        <f t="shared" si="10"/>
        <v>7242.8314</v>
      </c>
      <c r="O7" s="26">
        <f t="shared" si="11"/>
        <v>33498.095224999997</v>
      </c>
    </row>
    <row r="8" spans="1:15" ht="15.75" thickBot="1" x14ac:dyDescent="0.3">
      <c r="A8" s="30">
        <v>7</v>
      </c>
      <c r="B8" s="24">
        <v>-27.75</v>
      </c>
      <c r="C8" s="25">
        <f t="shared" si="2"/>
        <v>9.25</v>
      </c>
      <c r="D8" s="25">
        <v>6.5143000000000004</v>
      </c>
      <c r="E8" s="25">
        <f t="shared" si="3"/>
        <v>9.9298999999999999</v>
      </c>
      <c r="F8" s="25">
        <f t="shared" si="4"/>
        <v>45.925787499999998</v>
      </c>
      <c r="G8" s="25">
        <f t="shared" si="0"/>
        <v>-180.77182500000001</v>
      </c>
      <c r="H8" s="25">
        <f t="shared" si="5"/>
        <v>-307.14902499999999</v>
      </c>
      <c r="I8" s="25">
        <f t="shared" si="6"/>
        <v>-1420.5642406249999</v>
      </c>
      <c r="J8" s="25">
        <f t="shared" si="7"/>
        <v>276.44151547920706</v>
      </c>
      <c r="K8" s="25">
        <f t="shared" si="8"/>
        <v>316.28900954762304</v>
      </c>
      <c r="L8" s="25">
        <f t="shared" si="9"/>
        <v>1462.8366691577567</v>
      </c>
      <c r="M8" s="25">
        <f t="shared" si="1"/>
        <v>5016.4181437500001</v>
      </c>
      <c r="N8" s="25">
        <f t="shared" si="10"/>
        <v>9692.3745437500002</v>
      </c>
      <c r="O8" s="26">
        <f t="shared" si="11"/>
        <v>44827.232264843748</v>
      </c>
    </row>
    <row r="9" spans="1:15" ht="15.75" thickBot="1" x14ac:dyDescent="0.3">
      <c r="A9" s="30">
        <v>8</v>
      </c>
      <c r="B9" s="24">
        <v>-18.5</v>
      </c>
      <c r="C9" s="25">
        <f t="shared" si="2"/>
        <v>9.25</v>
      </c>
      <c r="D9" s="25">
        <v>9.6067999999999998</v>
      </c>
      <c r="E9" s="25">
        <f t="shared" si="3"/>
        <v>16.121099999999998</v>
      </c>
      <c r="F9" s="25">
        <f t="shared" si="4"/>
        <v>74.560087499999995</v>
      </c>
      <c r="G9" s="25">
        <f t="shared" si="0"/>
        <v>-177.72579999999999</v>
      </c>
      <c r="H9" s="25">
        <f t="shared" si="5"/>
        <v>-358.49762499999997</v>
      </c>
      <c r="I9" s="25">
        <f t="shared" si="6"/>
        <v>-1658.0515156249999</v>
      </c>
      <c r="J9" s="25">
        <f t="shared" si="7"/>
        <v>886.61739602643195</v>
      </c>
      <c r="K9" s="25">
        <f t="shared" si="8"/>
        <v>1163.0589115056391</v>
      </c>
      <c r="L9" s="25">
        <f t="shared" si="9"/>
        <v>5379.1474657135805</v>
      </c>
      <c r="M9" s="25">
        <f t="shared" si="1"/>
        <v>3287.9272999999998</v>
      </c>
      <c r="N9" s="25">
        <f t="shared" si="10"/>
        <v>8304.3454437500004</v>
      </c>
      <c r="O9" s="26">
        <f t="shared" si="11"/>
        <v>38407.597677343751</v>
      </c>
    </row>
    <row r="10" spans="1:15" ht="15.75" thickBot="1" x14ac:dyDescent="0.3">
      <c r="A10" s="30">
        <v>9</v>
      </c>
      <c r="B10" s="24">
        <v>-9.25</v>
      </c>
      <c r="C10" s="25">
        <f t="shared" si="2"/>
        <v>9.25</v>
      </c>
      <c r="D10" s="25">
        <v>11.757999999999999</v>
      </c>
      <c r="E10" s="25">
        <f t="shared" si="3"/>
        <v>21.364799999999999</v>
      </c>
      <c r="F10" s="25">
        <f t="shared" si="4"/>
        <v>98.81219999999999</v>
      </c>
      <c r="G10" s="25">
        <f t="shared" si="0"/>
        <v>-108.7615</v>
      </c>
      <c r="H10" s="25">
        <f t="shared" si="5"/>
        <v>-286.4873</v>
      </c>
      <c r="I10" s="25">
        <f t="shared" si="6"/>
        <v>-1325.0037625</v>
      </c>
      <c r="J10" s="25">
        <f t="shared" si="7"/>
        <v>1625.5501315119996</v>
      </c>
      <c r="K10" s="25">
        <f t="shared" si="8"/>
        <v>2512.1675275384314</v>
      </c>
      <c r="L10" s="25">
        <f t="shared" si="9"/>
        <v>11618.774814865244</v>
      </c>
      <c r="M10" s="25">
        <f t="shared" si="1"/>
        <v>1006.043875</v>
      </c>
      <c r="N10" s="25">
        <f t="shared" si="10"/>
        <v>4293.9711749999997</v>
      </c>
      <c r="O10" s="26">
        <f t="shared" si="11"/>
        <v>19859.616684375</v>
      </c>
    </row>
    <row r="11" spans="1:15" ht="15.75" thickBot="1" x14ac:dyDescent="0.3">
      <c r="A11" s="30">
        <v>10</v>
      </c>
      <c r="B11" s="24">
        <v>0</v>
      </c>
      <c r="C11" s="25">
        <f t="shared" si="2"/>
        <v>9.25</v>
      </c>
      <c r="D11" s="25">
        <v>12.17</v>
      </c>
      <c r="E11" s="25">
        <f t="shared" si="3"/>
        <v>23.927999999999997</v>
      </c>
      <c r="F11" s="25">
        <f t="shared" si="4"/>
        <v>110.66699999999999</v>
      </c>
      <c r="G11" s="25">
        <f t="shared" si="0"/>
        <v>0</v>
      </c>
      <c r="H11" s="25">
        <f t="shared" si="5"/>
        <v>-108.7615</v>
      </c>
      <c r="I11" s="25">
        <f t="shared" si="6"/>
        <v>-503.02193749999998</v>
      </c>
      <c r="J11" s="25">
        <f t="shared" si="7"/>
        <v>1802.4853130000001</v>
      </c>
      <c r="K11" s="25">
        <f t="shared" si="8"/>
        <v>3428.0354445119997</v>
      </c>
      <c r="L11" s="25">
        <f t="shared" si="9"/>
        <v>15854.663930867999</v>
      </c>
      <c r="M11" s="25">
        <f t="shared" si="1"/>
        <v>0</v>
      </c>
      <c r="N11" s="25">
        <f t="shared" si="10"/>
        <v>1006.043875</v>
      </c>
      <c r="O11" s="26">
        <f t="shared" si="11"/>
        <v>4652.9529218749994</v>
      </c>
    </row>
    <row r="12" spans="1:15" ht="15.75" thickBot="1" x14ac:dyDescent="0.3">
      <c r="A12" s="30">
        <v>11</v>
      </c>
      <c r="B12" s="24">
        <v>9.25</v>
      </c>
      <c r="C12" s="25">
        <f t="shared" si="2"/>
        <v>9.25</v>
      </c>
      <c r="D12" s="25">
        <v>11.776999999999999</v>
      </c>
      <c r="E12" s="25">
        <f t="shared" si="3"/>
        <v>23.946999999999999</v>
      </c>
      <c r="F12" s="25">
        <f t="shared" si="4"/>
        <v>110.754875</v>
      </c>
      <c r="G12" s="25">
        <f t="shared" si="0"/>
        <v>108.93724999999999</v>
      </c>
      <c r="H12" s="25">
        <f t="shared" si="5"/>
        <v>108.93724999999999</v>
      </c>
      <c r="I12" s="25">
        <f t="shared" si="6"/>
        <v>503.83478124999993</v>
      </c>
      <c r="J12" s="25">
        <f t="shared" si="7"/>
        <v>1633.4431544329996</v>
      </c>
      <c r="K12" s="25">
        <f t="shared" si="8"/>
        <v>3435.9284674329997</v>
      </c>
      <c r="L12" s="25">
        <f t="shared" si="9"/>
        <v>15891.169161877624</v>
      </c>
      <c r="M12" s="25">
        <f t="shared" si="1"/>
        <v>1007.6695625</v>
      </c>
      <c r="N12" s="25">
        <f t="shared" si="10"/>
        <v>1007.6695625</v>
      </c>
      <c r="O12" s="26">
        <f t="shared" si="11"/>
        <v>4660.4717265624995</v>
      </c>
    </row>
    <row r="13" spans="1:15" ht="15.75" thickBot="1" x14ac:dyDescent="0.3">
      <c r="A13" s="30">
        <v>12</v>
      </c>
      <c r="B13" s="24">
        <v>18.5</v>
      </c>
      <c r="C13" s="25">
        <f t="shared" si="2"/>
        <v>9.25</v>
      </c>
      <c r="D13" s="25">
        <v>9.3214000000000006</v>
      </c>
      <c r="E13" s="25">
        <f t="shared" si="3"/>
        <v>21.098399999999998</v>
      </c>
      <c r="F13" s="25">
        <f t="shared" si="4"/>
        <v>97.580099999999987</v>
      </c>
      <c r="G13" s="25">
        <f t="shared" si="0"/>
        <v>172.44590000000002</v>
      </c>
      <c r="H13" s="25">
        <f t="shared" si="5"/>
        <v>281.38315</v>
      </c>
      <c r="I13" s="25">
        <f t="shared" si="6"/>
        <v>1301.39706875</v>
      </c>
      <c r="J13" s="25">
        <f t="shared" si="7"/>
        <v>809.92244488434415</v>
      </c>
      <c r="K13" s="25">
        <f t="shared" si="8"/>
        <v>2443.3655993173438</v>
      </c>
      <c r="L13" s="25">
        <f t="shared" si="9"/>
        <v>11300.565896842716</v>
      </c>
      <c r="M13" s="25">
        <f t="shared" si="1"/>
        <v>3190.2491500000001</v>
      </c>
      <c r="N13" s="25">
        <f t="shared" si="10"/>
        <v>4197.9187124999999</v>
      </c>
      <c r="O13" s="26">
        <f t="shared" si="11"/>
        <v>19415.374045312499</v>
      </c>
    </row>
    <row r="14" spans="1:15" ht="15.75" thickBot="1" x14ac:dyDescent="0.3">
      <c r="A14" s="30">
        <v>13</v>
      </c>
      <c r="B14" s="24">
        <v>27.75</v>
      </c>
      <c r="C14" s="25">
        <f t="shared" si="2"/>
        <v>9.25</v>
      </c>
      <c r="D14" s="25">
        <v>6.7363</v>
      </c>
      <c r="E14" s="25">
        <f t="shared" si="3"/>
        <v>16.057700000000001</v>
      </c>
      <c r="F14" s="25">
        <f t="shared" si="4"/>
        <v>74.266862500000002</v>
      </c>
      <c r="G14" s="25">
        <f t="shared" si="0"/>
        <v>186.93232499999999</v>
      </c>
      <c r="H14" s="25">
        <f t="shared" si="5"/>
        <v>359.37822500000004</v>
      </c>
      <c r="I14" s="25">
        <f t="shared" si="6"/>
        <v>1662.1242906250002</v>
      </c>
      <c r="J14" s="25">
        <f t="shared" si="7"/>
        <v>305.67805440114699</v>
      </c>
      <c r="K14" s="25">
        <f t="shared" si="8"/>
        <v>1115.6004992854912</v>
      </c>
      <c r="L14" s="25">
        <f t="shared" si="9"/>
        <v>5159.6523091953968</v>
      </c>
      <c r="M14" s="25">
        <f t="shared" si="1"/>
        <v>5187.3720187500003</v>
      </c>
      <c r="N14" s="25">
        <f t="shared" si="10"/>
        <v>8377.6211687499999</v>
      </c>
      <c r="O14" s="26">
        <f t="shared" si="11"/>
        <v>38746.49790546875</v>
      </c>
    </row>
    <row r="15" spans="1:15" ht="15.75" thickBot="1" x14ac:dyDescent="0.3">
      <c r="A15" s="30">
        <v>14</v>
      </c>
      <c r="B15" s="24">
        <v>37</v>
      </c>
      <c r="C15" s="25">
        <f t="shared" si="2"/>
        <v>9.25</v>
      </c>
      <c r="D15" s="25">
        <v>4.6161000000000003</v>
      </c>
      <c r="E15" s="25">
        <f t="shared" si="3"/>
        <v>11.352399999999999</v>
      </c>
      <c r="F15" s="25">
        <f t="shared" si="4"/>
        <v>52.504849999999998</v>
      </c>
      <c r="G15" s="25">
        <f t="shared" si="0"/>
        <v>170.79570000000001</v>
      </c>
      <c r="H15" s="25">
        <f t="shared" si="5"/>
        <v>357.728025</v>
      </c>
      <c r="I15" s="25">
        <f t="shared" si="6"/>
        <v>1654.492115625</v>
      </c>
      <c r="J15" s="25">
        <f t="shared" si="7"/>
        <v>98.361609271281012</v>
      </c>
      <c r="K15" s="25">
        <f t="shared" si="8"/>
        <v>404.03966367242799</v>
      </c>
      <c r="L15" s="25">
        <f t="shared" si="9"/>
        <v>1868.6834444849794</v>
      </c>
      <c r="M15" s="25">
        <f t="shared" si="1"/>
        <v>6319.4409000000005</v>
      </c>
      <c r="N15" s="25">
        <f t="shared" si="10"/>
        <v>11506.812918750002</v>
      </c>
      <c r="O15" s="26">
        <f t="shared" si="11"/>
        <v>53219.009749218756</v>
      </c>
    </row>
    <row r="16" spans="1:15" ht="15.75" thickBot="1" x14ac:dyDescent="0.3">
      <c r="A16" s="30">
        <v>15</v>
      </c>
      <c r="B16" s="24">
        <v>46.25</v>
      </c>
      <c r="C16" s="25">
        <f t="shared" si="2"/>
        <v>9.25</v>
      </c>
      <c r="D16" s="25">
        <v>2.8936999999999999</v>
      </c>
      <c r="E16" s="25">
        <f t="shared" si="3"/>
        <v>7.5098000000000003</v>
      </c>
      <c r="F16" s="25">
        <f t="shared" si="4"/>
        <v>34.732824999999998</v>
      </c>
      <c r="G16" s="25">
        <f t="shared" si="0"/>
        <v>133.83362499999998</v>
      </c>
      <c r="H16" s="25">
        <f t="shared" si="5"/>
        <v>304.62932499999999</v>
      </c>
      <c r="I16" s="25">
        <f t="shared" si="6"/>
        <v>1408.9106281249999</v>
      </c>
      <c r="J16" s="25">
        <f t="shared" si="7"/>
        <v>24.230396052952997</v>
      </c>
      <c r="K16" s="25">
        <f t="shared" si="8"/>
        <v>122.59200532423401</v>
      </c>
      <c r="L16" s="25">
        <f t="shared" si="9"/>
        <v>566.98802462458229</v>
      </c>
      <c r="M16" s="25">
        <f t="shared" si="1"/>
        <v>6189.8051562499995</v>
      </c>
      <c r="N16" s="25">
        <f t="shared" si="10"/>
        <v>12509.24605625</v>
      </c>
      <c r="O16" s="26">
        <f t="shared" si="11"/>
        <v>57855.263010156254</v>
      </c>
    </row>
    <row r="17" spans="1:15" ht="15.75" thickBot="1" x14ac:dyDescent="0.3">
      <c r="A17" s="30">
        <v>16</v>
      </c>
      <c r="B17" s="24">
        <v>55.5</v>
      </c>
      <c r="C17" s="25">
        <f t="shared" si="2"/>
        <v>9.25</v>
      </c>
      <c r="D17" s="25">
        <v>1.57</v>
      </c>
      <c r="E17" s="25">
        <f t="shared" si="3"/>
        <v>4.4637000000000002</v>
      </c>
      <c r="F17" s="25">
        <f t="shared" si="4"/>
        <v>20.644612500000001</v>
      </c>
      <c r="G17" s="25">
        <f t="shared" si="0"/>
        <v>87.135000000000005</v>
      </c>
      <c r="H17" s="25">
        <f t="shared" si="5"/>
        <v>220.96862499999997</v>
      </c>
      <c r="I17" s="25">
        <f t="shared" si="6"/>
        <v>1021.9798906249998</v>
      </c>
      <c r="J17" s="25">
        <f t="shared" si="7"/>
        <v>3.8698930000000002</v>
      </c>
      <c r="K17" s="25">
        <f t="shared" si="8"/>
        <v>28.100289052952999</v>
      </c>
      <c r="L17" s="25">
        <f t="shared" si="9"/>
        <v>129.96383686990762</v>
      </c>
      <c r="M17" s="25">
        <f t="shared" si="1"/>
        <v>4835.9925000000003</v>
      </c>
      <c r="N17" s="25">
        <f t="shared" si="10"/>
        <v>11025.797656250001</v>
      </c>
      <c r="O17" s="26">
        <f t="shared" si="11"/>
        <v>50994.314160156253</v>
      </c>
    </row>
    <row r="18" spans="1:15" ht="15.75" thickBot="1" x14ac:dyDescent="0.3">
      <c r="A18" s="30">
        <v>17</v>
      </c>
      <c r="B18" s="24">
        <v>64.75</v>
      </c>
      <c r="C18" s="25">
        <f t="shared" si="2"/>
        <v>9.25</v>
      </c>
      <c r="D18" s="25">
        <v>0.66722999999999999</v>
      </c>
      <c r="E18" s="25">
        <f t="shared" si="3"/>
        <v>2.2372300000000003</v>
      </c>
      <c r="F18" s="25">
        <f t="shared" si="4"/>
        <v>10.347188750000001</v>
      </c>
      <c r="G18" s="25">
        <f t="shared" si="0"/>
        <v>43.203142499999998</v>
      </c>
      <c r="H18" s="25">
        <f t="shared" si="5"/>
        <v>130.3381425</v>
      </c>
      <c r="I18" s="25">
        <f t="shared" si="6"/>
        <v>602.81390906249999</v>
      </c>
      <c r="J18" s="25">
        <f t="shared" si="7"/>
        <v>0.29704804227506698</v>
      </c>
      <c r="K18" s="25">
        <f t="shared" si="8"/>
        <v>4.1669410422750675</v>
      </c>
      <c r="L18" s="25">
        <f t="shared" si="9"/>
        <v>19.272102320522187</v>
      </c>
      <c r="M18" s="25">
        <f t="shared" si="1"/>
        <v>2797.4034768749998</v>
      </c>
      <c r="N18" s="25">
        <f t="shared" si="10"/>
        <v>7633.3959768750001</v>
      </c>
      <c r="O18" s="26">
        <f t="shared" si="11"/>
        <v>35304.456393046872</v>
      </c>
    </row>
    <row r="19" spans="1:15" ht="15.75" thickBot="1" x14ac:dyDescent="0.3">
      <c r="A19" s="30">
        <v>18</v>
      </c>
      <c r="B19" s="24">
        <v>74</v>
      </c>
      <c r="C19" s="25">
        <f t="shared" si="2"/>
        <v>9.25</v>
      </c>
      <c r="D19" s="25">
        <v>0.18149000000000001</v>
      </c>
      <c r="E19" s="25">
        <f t="shared" si="3"/>
        <v>0.84872000000000003</v>
      </c>
      <c r="F19" s="25">
        <f t="shared" si="4"/>
        <v>3.9253300000000002</v>
      </c>
      <c r="G19" s="25">
        <f t="shared" si="0"/>
        <v>13.430260000000001</v>
      </c>
      <c r="H19" s="25">
        <f t="shared" si="5"/>
        <v>56.633402500000003</v>
      </c>
      <c r="I19" s="25">
        <f t="shared" si="6"/>
        <v>261.92948656250002</v>
      </c>
      <c r="J19" s="25">
        <f t="shared" si="7"/>
        <v>5.9780301619490007E-3</v>
      </c>
      <c r="K19" s="25">
        <f t="shared" si="8"/>
        <v>0.30302607243701596</v>
      </c>
      <c r="L19" s="25">
        <f t="shared" si="9"/>
        <v>1.4014955850211988</v>
      </c>
      <c r="M19" s="25">
        <f t="shared" si="1"/>
        <v>993.83924000000002</v>
      </c>
      <c r="N19" s="25">
        <f t="shared" si="10"/>
        <v>3791.242716875</v>
      </c>
      <c r="O19" s="26">
        <f t="shared" si="11"/>
        <v>17534.497565546873</v>
      </c>
    </row>
    <row r="20" spans="1:15" ht="15.75" thickBot="1" x14ac:dyDescent="0.3">
      <c r="A20" s="30">
        <v>19</v>
      </c>
      <c r="B20" s="24">
        <v>83.25</v>
      </c>
      <c r="C20" s="25">
        <f t="shared" si="2"/>
        <v>9.25</v>
      </c>
      <c r="D20" s="25">
        <v>3.13E-3</v>
      </c>
      <c r="E20" s="25">
        <f t="shared" si="3"/>
        <v>0.18462000000000001</v>
      </c>
      <c r="F20" s="25">
        <f t="shared" si="4"/>
        <v>0.8538675</v>
      </c>
      <c r="G20" s="25">
        <f t="shared" si="0"/>
        <v>0.26057249999999998</v>
      </c>
      <c r="H20" s="25">
        <f t="shared" si="5"/>
        <v>13.690832500000001</v>
      </c>
      <c r="I20" s="25">
        <f t="shared" si="6"/>
        <v>63.320100312500003</v>
      </c>
      <c r="J20" s="25">
        <f t="shared" si="7"/>
        <v>3.0664296999999995E-8</v>
      </c>
      <c r="K20" s="25">
        <f t="shared" si="8"/>
        <v>5.9780608262460008E-3</v>
      </c>
      <c r="L20" s="25">
        <f t="shared" si="9"/>
        <v>2.7648531321387754E-2</v>
      </c>
      <c r="M20" s="25">
        <f t="shared" si="1"/>
        <v>21.692660624999998</v>
      </c>
      <c r="N20" s="25">
        <f t="shared" si="10"/>
        <v>1015.531900625</v>
      </c>
      <c r="O20" s="26">
        <f t="shared" si="11"/>
        <v>4696.8350403906252</v>
      </c>
    </row>
    <row r="21" spans="1:15" ht="15.75" thickBot="1" x14ac:dyDescent="0.3">
      <c r="A21" s="30" t="s">
        <v>60</v>
      </c>
      <c r="B21" s="24">
        <v>83.15</v>
      </c>
      <c r="C21" s="25">
        <f t="shared" si="2"/>
        <v>-9.9999999999994316E-2</v>
      </c>
      <c r="D21" s="25">
        <v>0</v>
      </c>
      <c r="E21" s="25">
        <f t="shared" si="3"/>
        <v>3.13E-3</v>
      </c>
      <c r="F21" s="25">
        <f t="shared" si="4"/>
        <v>-1.5649999999999109E-4</v>
      </c>
      <c r="G21" s="25">
        <f t="shared" si="0"/>
        <v>0</v>
      </c>
      <c r="H21" s="25">
        <f t="shared" si="5"/>
        <v>0.26057249999999998</v>
      </c>
      <c r="I21" s="25">
        <f t="shared" si="6"/>
        <v>-1.3028624999999258E-2</v>
      </c>
      <c r="J21" s="25">
        <f t="shared" si="7"/>
        <v>0</v>
      </c>
      <c r="K21" s="25">
        <f t="shared" si="8"/>
        <v>3.0664296999999995E-8</v>
      </c>
      <c r="L21" s="25">
        <f t="shared" si="9"/>
        <v>-1.5332148499999125E-9</v>
      </c>
      <c r="M21" s="25">
        <f t="shared" si="1"/>
        <v>0</v>
      </c>
      <c r="N21" s="25">
        <f t="shared" si="10"/>
        <v>21.692660624999998</v>
      </c>
      <c r="O21" s="26">
        <f t="shared" si="11"/>
        <v>-1.0846330312499384</v>
      </c>
    </row>
    <row r="22" spans="1:15" ht="15.75" thickBot="1" x14ac:dyDescent="0.3">
      <c r="A22" s="30" t="s">
        <v>61</v>
      </c>
      <c r="B22" s="27"/>
      <c r="C22" s="28"/>
      <c r="D22" s="28"/>
      <c r="E22" s="28"/>
      <c r="F22" s="28">
        <f>SUM(F2:F21)</f>
        <v>774.07758530000001</v>
      </c>
      <c r="G22" s="28"/>
      <c r="H22" s="28"/>
      <c r="I22" s="28">
        <f>SUM(I2:I21)</f>
        <v>1725.9719841124991</v>
      </c>
      <c r="J22" s="28"/>
      <c r="K22" s="28"/>
      <c r="L22" s="28">
        <f>SUM(L3:L21)</f>
        <v>69455.641862602177</v>
      </c>
      <c r="M22" s="28"/>
      <c r="N22" s="28"/>
      <c r="O22" s="29">
        <f>SUM(O3:O21)</f>
        <v>484689.56373525312</v>
      </c>
    </row>
    <row r="23" spans="1:15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thickBot="1" x14ac:dyDescent="0.3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thickBot="1" x14ac:dyDescent="0.3">
      <c r="A25" s="30" t="s">
        <v>11</v>
      </c>
      <c r="B25" s="21">
        <f>2*F22</f>
        <v>1548.1551706</v>
      </c>
      <c r="C25" s="23" t="s">
        <v>62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30" t="s">
        <v>63</v>
      </c>
      <c r="B26" s="24">
        <f>2*I22</f>
        <v>3451.9439682249981</v>
      </c>
      <c r="C26" s="26" t="s">
        <v>64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15</v>
      </c>
      <c r="B27" s="24">
        <f>B26/B25</f>
        <v>2.2297144587174484</v>
      </c>
      <c r="C27" s="26" t="s">
        <v>19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16</v>
      </c>
      <c r="B28" s="24">
        <f>2/3*L22</f>
        <v>46303.761241734785</v>
      </c>
      <c r="C28" s="26" t="s">
        <v>65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17</v>
      </c>
      <c r="B29" s="24">
        <f>2*O22</f>
        <v>969379.12747050624</v>
      </c>
      <c r="C29" s="26" t="s">
        <v>65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18</v>
      </c>
      <c r="B30" s="27">
        <f>B29-(B27)^2*B25</f>
        <v>961682.27809387248</v>
      </c>
      <c r="C30" s="29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0338-20BE-469D-8F33-06B0A3C678AB}">
  <dimension ref="A1:O32"/>
  <sheetViews>
    <sheetView workbookViewId="0">
      <selection activeCell="Q31" sqref="Q31"/>
    </sheetView>
  </sheetViews>
  <sheetFormatPr defaultRowHeight="15" x14ac:dyDescent="0.25"/>
  <cols>
    <col min="1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49">
        <v>-85.256784671314307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</row>
    <row r="3" spans="1:15" ht="15.75" thickBot="1" x14ac:dyDescent="0.3">
      <c r="A3" s="30">
        <v>1</v>
      </c>
      <c r="B3" s="9">
        <v>-83.25</v>
      </c>
      <c r="C3" s="10">
        <f t="shared" ref="C3:C23" si="0">B3-B2</f>
        <v>2.0067846713143069</v>
      </c>
      <c r="D3" s="10">
        <v>0.88200000000000001</v>
      </c>
      <c r="E3" s="10">
        <f t="shared" ref="E3:E23" si="1">D2+D3</f>
        <v>0.88200000000000001</v>
      </c>
      <c r="F3" s="10">
        <f t="shared" ref="F3:F23" si="2">C3*E3/2</f>
        <v>0.88499204004960941</v>
      </c>
      <c r="G3" s="10">
        <f t="shared" ref="G3:G23" si="3">B3*D3</f>
        <v>-73.426500000000004</v>
      </c>
      <c r="H3" s="10">
        <f t="shared" ref="H3:H23" si="4">G2+G3</f>
        <v>-73.426500000000004</v>
      </c>
      <c r="I3" s="10">
        <f t="shared" ref="I3:I23" si="5">C3*H3/2</f>
        <v>-73.675587334129986</v>
      </c>
      <c r="J3" s="10">
        <f t="shared" ref="J3:J23" si="6">D3^3</f>
        <v>0.68612896800000001</v>
      </c>
      <c r="K3" s="10">
        <f t="shared" ref="K3:K23" si="7">J2+J3</f>
        <v>0.68612896800000001</v>
      </c>
      <c r="L3" s="10">
        <f t="shared" ref="L3:L23" si="8">C3*K3/2</f>
        <v>0.68845654776355236</v>
      </c>
      <c r="M3" s="10">
        <f t="shared" ref="M3:M23" si="9">B3^2*D3</f>
        <v>6112.7561249999999</v>
      </c>
      <c r="N3" s="10">
        <f t="shared" ref="N3:N23" si="10">M2+M3</f>
        <v>6112.7561249999999</v>
      </c>
      <c r="O3" s="18">
        <f t="shared" ref="O3:O23" si="11">C3*N3/2</f>
        <v>6133.4926455663208</v>
      </c>
    </row>
    <row r="4" spans="1:15" ht="15.75" thickBot="1" x14ac:dyDescent="0.3">
      <c r="A4" s="30">
        <v>2</v>
      </c>
      <c r="B4" s="9">
        <v>-74</v>
      </c>
      <c r="C4" s="10">
        <f t="shared" si="0"/>
        <v>9.25</v>
      </c>
      <c r="D4" s="10">
        <v>1.75</v>
      </c>
      <c r="E4" s="10">
        <f t="shared" si="1"/>
        <v>2.6320000000000001</v>
      </c>
      <c r="F4" s="10">
        <f t="shared" si="2"/>
        <v>12.173</v>
      </c>
      <c r="G4" s="10">
        <f t="shared" si="3"/>
        <v>-129.5</v>
      </c>
      <c r="H4" s="10">
        <f t="shared" si="4"/>
        <v>-202.9265</v>
      </c>
      <c r="I4" s="10">
        <f t="shared" si="5"/>
        <v>-938.53506249999998</v>
      </c>
      <c r="J4" s="10">
        <f t="shared" si="6"/>
        <v>5.359375</v>
      </c>
      <c r="K4" s="10">
        <f t="shared" si="7"/>
        <v>6.0455039680000002</v>
      </c>
      <c r="L4" s="10">
        <f t="shared" si="8"/>
        <v>27.960455852000003</v>
      </c>
      <c r="M4" s="10">
        <f t="shared" si="9"/>
        <v>9583</v>
      </c>
      <c r="N4" s="10">
        <f t="shared" si="10"/>
        <v>15695.756125</v>
      </c>
      <c r="O4" s="18">
        <f t="shared" si="11"/>
        <v>72592.872078125001</v>
      </c>
    </row>
    <row r="5" spans="1:15" ht="15.75" thickBot="1" x14ac:dyDescent="0.3">
      <c r="A5" s="30">
        <v>3</v>
      </c>
      <c r="B5" s="9">
        <v>-64.75</v>
      </c>
      <c r="C5" s="10">
        <f t="shared" si="0"/>
        <v>9.25</v>
      </c>
      <c r="D5" s="10">
        <v>2.75</v>
      </c>
      <c r="E5" s="10">
        <f t="shared" si="1"/>
        <v>4.5</v>
      </c>
      <c r="F5" s="10">
        <f t="shared" si="2"/>
        <v>20.8125</v>
      </c>
      <c r="G5" s="10">
        <f t="shared" si="3"/>
        <v>-178.0625</v>
      </c>
      <c r="H5" s="10">
        <f t="shared" si="4"/>
        <v>-307.5625</v>
      </c>
      <c r="I5" s="10">
        <f t="shared" si="5"/>
        <v>-1422.4765625</v>
      </c>
      <c r="J5" s="10">
        <f t="shared" si="6"/>
        <v>20.796875</v>
      </c>
      <c r="K5" s="10">
        <f t="shared" si="7"/>
        <v>26.15625</v>
      </c>
      <c r="L5" s="10">
        <f t="shared" si="8"/>
        <v>120.97265625</v>
      </c>
      <c r="M5" s="10">
        <f t="shared" si="9"/>
        <v>11529.546875</v>
      </c>
      <c r="N5" s="10">
        <f t="shared" si="10"/>
        <v>21112.546875</v>
      </c>
      <c r="O5" s="18">
        <f t="shared" si="11"/>
        <v>97645.529296875</v>
      </c>
    </row>
    <row r="6" spans="1:15" ht="15.75" thickBot="1" x14ac:dyDescent="0.3">
      <c r="A6" s="30">
        <v>4</v>
      </c>
      <c r="B6" s="9">
        <v>-55.5</v>
      </c>
      <c r="C6" s="10">
        <f t="shared" si="0"/>
        <v>9.25</v>
      </c>
      <c r="D6" s="10">
        <v>4.08</v>
      </c>
      <c r="E6" s="10">
        <f t="shared" si="1"/>
        <v>6.83</v>
      </c>
      <c r="F6" s="10">
        <f t="shared" si="2"/>
        <v>31.588750000000001</v>
      </c>
      <c r="G6" s="10">
        <f t="shared" si="3"/>
        <v>-226.44</v>
      </c>
      <c r="H6" s="10">
        <f t="shared" si="4"/>
        <v>-404.5025</v>
      </c>
      <c r="I6" s="10">
        <f t="shared" si="5"/>
        <v>-1870.8240625000001</v>
      </c>
      <c r="J6" s="10">
        <f t="shared" si="6"/>
        <v>67.917311999999995</v>
      </c>
      <c r="K6" s="10">
        <f t="shared" si="7"/>
        <v>88.714186999999995</v>
      </c>
      <c r="L6" s="10">
        <f t="shared" si="8"/>
        <v>410.30311487500001</v>
      </c>
      <c r="M6" s="10">
        <f t="shared" si="9"/>
        <v>12567.42</v>
      </c>
      <c r="N6" s="10">
        <f t="shared" si="10"/>
        <v>24096.966874999998</v>
      </c>
      <c r="O6" s="18">
        <f t="shared" si="11"/>
        <v>111448.47179687499</v>
      </c>
    </row>
    <row r="7" spans="1:15" ht="15.75" thickBot="1" x14ac:dyDescent="0.3">
      <c r="A7" s="30">
        <v>5</v>
      </c>
      <c r="B7" s="9">
        <v>-46.25</v>
      </c>
      <c r="C7" s="10">
        <f t="shared" si="0"/>
        <v>9.25</v>
      </c>
      <c r="D7" s="10">
        <v>6.1</v>
      </c>
      <c r="E7" s="10">
        <f t="shared" si="1"/>
        <v>10.18</v>
      </c>
      <c r="F7" s="10">
        <f t="shared" si="2"/>
        <v>47.082499999999996</v>
      </c>
      <c r="G7" s="10">
        <f t="shared" si="3"/>
        <v>-282.125</v>
      </c>
      <c r="H7" s="10">
        <f t="shared" si="4"/>
        <v>-508.565</v>
      </c>
      <c r="I7" s="10">
        <f t="shared" si="5"/>
        <v>-2352.1131249999999</v>
      </c>
      <c r="J7" s="10">
        <f t="shared" si="6"/>
        <v>226.98099999999994</v>
      </c>
      <c r="K7" s="10">
        <f t="shared" si="7"/>
        <v>294.89831199999992</v>
      </c>
      <c r="L7" s="10">
        <f t="shared" si="8"/>
        <v>1363.9046929999997</v>
      </c>
      <c r="M7" s="10">
        <f t="shared" si="9"/>
        <v>13048.28125</v>
      </c>
      <c r="N7" s="10">
        <f t="shared" si="10"/>
        <v>25615.701249999998</v>
      </c>
      <c r="O7" s="18">
        <f t="shared" si="11"/>
        <v>118472.61828124999</v>
      </c>
    </row>
    <row r="8" spans="1:15" ht="15.75" thickBot="1" x14ac:dyDescent="0.3">
      <c r="A8" s="30">
        <v>6</v>
      </c>
      <c r="B8" s="9">
        <v>-37</v>
      </c>
      <c r="C8" s="10">
        <f t="shared" si="0"/>
        <v>9.25</v>
      </c>
      <c r="D8" s="10">
        <v>8.64</v>
      </c>
      <c r="E8" s="10">
        <f t="shared" si="1"/>
        <v>14.74</v>
      </c>
      <c r="F8" s="10">
        <f t="shared" si="2"/>
        <v>68.172499999999999</v>
      </c>
      <c r="G8" s="10">
        <f t="shared" si="3"/>
        <v>-319.68</v>
      </c>
      <c r="H8" s="10">
        <f t="shared" si="4"/>
        <v>-601.80500000000006</v>
      </c>
      <c r="I8" s="10">
        <f t="shared" si="5"/>
        <v>-2783.3481250000004</v>
      </c>
      <c r="J8" s="10">
        <f t="shared" si="6"/>
        <v>644.97254400000008</v>
      </c>
      <c r="K8" s="10">
        <f t="shared" si="7"/>
        <v>871.95354399999997</v>
      </c>
      <c r="L8" s="10">
        <f t="shared" si="8"/>
        <v>4032.7851409999998</v>
      </c>
      <c r="M8" s="10">
        <f t="shared" si="9"/>
        <v>11828.160000000002</v>
      </c>
      <c r="N8" s="10">
        <f t="shared" si="10"/>
        <v>24876.441250000003</v>
      </c>
      <c r="O8" s="18">
        <f t="shared" si="11"/>
        <v>115053.54078125002</v>
      </c>
    </row>
    <row r="9" spans="1:15" ht="15.75" thickBot="1" x14ac:dyDescent="0.3">
      <c r="A9" s="30">
        <v>7</v>
      </c>
      <c r="B9" s="9">
        <v>-27.75</v>
      </c>
      <c r="C9" s="10">
        <f t="shared" si="0"/>
        <v>9.25</v>
      </c>
      <c r="D9" s="10">
        <v>11.4</v>
      </c>
      <c r="E9" s="10">
        <f t="shared" si="1"/>
        <v>20.04</v>
      </c>
      <c r="F9" s="10">
        <f t="shared" si="2"/>
        <v>92.685000000000002</v>
      </c>
      <c r="G9" s="10">
        <f t="shared" si="3"/>
        <v>-316.35000000000002</v>
      </c>
      <c r="H9" s="10">
        <f t="shared" si="4"/>
        <v>-636.03</v>
      </c>
      <c r="I9" s="10">
        <f t="shared" si="5"/>
        <v>-2941.6387500000001</v>
      </c>
      <c r="J9" s="10">
        <f t="shared" si="6"/>
        <v>1481.5440000000001</v>
      </c>
      <c r="K9" s="10">
        <f t="shared" si="7"/>
        <v>2126.5165440000001</v>
      </c>
      <c r="L9" s="10">
        <f t="shared" si="8"/>
        <v>9835.139016000001</v>
      </c>
      <c r="M9" s="10">
        <f t="shared" si="9"/>
        <v>8778.7124999999996</v>
      </c>
      <c r="N9" s="10">
        <f t="shared" si="10"/>
        <v>20606.872500000001</v>
      </c>
      <c r="O9" s="18">
        <f t="shared" si="11"/>
        <v>95306.785312500011</v>
      </c>
    </row>
    <row r="10" spans="1:15" ht="15.75" thickBot="1" x14ac:dyDescent="0.3">
      <c r="A10" s="30">
        <v>8</v>
      </c>
      <c r="B10" s="9">
        <v>-18.5</v>
      </c>
      <c r="C10" s="10">
        <f t="shared" si="0"/>
        <v>9.25</v>
      </c>
      <c r="D10" s="10">
        <v>13.3</v>
      </c>
      <c r="E10" s="10">
        <f t="shared" si="1"/>
        <v>24.700000000000003</v>
      </c>
      <c r="F10" s="10">
        <f t="shared" si="2"/>
        <v>114.23750000000001</v>
      </c>
      <c r="G10" s="10">
        <f t="shared" si="3"/>
        <v>-246.05</v>
      </c>
      <c r="H10" s="10">
        <f t="shared" si="4"/>
        <v>-562.40000000000009</v>
      </c>
      <c r="I10" s="10">
        <f t="shared" si="5"/>
        <v>-2601.1000000000004</v>
      </c>
      <c r="J10" s="10">
        <f t="shared" si="6"/>
        <v>2352.6370000000002</v>
      </c>
      <c r="K10" s="10">
        <f t="shared" si="7"/>
        <v>3834.1810000000005</v>
      </c>
      <c r="L10" s="10">
        <f t="shared" si="8"/>
        <v>17733.087125000002</v>
      </c>
      <c r="M10" s="10">
        <f t="shared" si="9"/>
        <v>4551.9250000000002</v>
      </c>
      <c r="N10" s="10">
        <f t="shared" si="10"/>
        <v>13330.637500000001</v>
      </c>
      <c r="O10" s="18">
        <f t="shared" si="11"/>
        <v>61654.198437500003</v>
      </c>
    </row>
    <row r="11" spans="1:15" ht="15.75" thickBot="1" x14ac:dyDescent="0.3">
      <c r="A11" s="30">
        <v>9</v>
      </c>
      <c r="B11" s="9">
        <v>-9.25</v>
      </c>
      <c r="C11" s="10">
        <f t="shared" si="0"/>
        <v>9.25</v>
      </c>
      <c r="D11" s="10">
        <v>14.4</v>
      </c>
      <c r="E11" s="10">
        <f t="shared" si="1"/>
        <v>27.700000000000003</v>
      </c>
      <c r="F11" s="10">
        <f t="shared" si="2"/>
        <v>128.11250000000001</v>
      </c>
      <c r="G11" s="10">
        <f t="shared" si="3"/>
        <v>-133.20000000000002</v>
      </c>
      <c r="H11" s="10">
        <f t="shared" si="4"/>
        <v>-379.25</v>
      </c>
      <c r="I11" s="10">
        <f t="shared" si="5"/>
        <v>-1754.03125</v>
      </c>
      <c r="J11" s="10">
        <f t="shared" si="6"/>
        <v>2985.9840000000004</v>
      </c>
      <c r="K11" s="10">
        <f t="shared" si="7"/>
        <v>5338.621000000001</v>
      </c>
      <c r="L11" s="10">
        <f t="shared" si="8"/>
        <v>24691.122125000005</v>
      </c>
      <c r="M11" s="10">
        <f t="shared" si="9"/>
        <v>1232.1000000000001</v>
      </c>
      <c r="N11" s="10">
        <f t="shared" si="10"/>
        <v>5784.0250000000005</v>
      </c>
      <c r="O11" s="18">
        <f t="shared" si="11"/>
        <v>26751.115625000002</v>
      </c>
    </row>
    <row r="12" spans="1:15" ht="15.75" thickBot="1" x14ac:dyDescent="0.3">
      <c r="A12" s="30">
        <v>10</v>
      </c>
      <c r="B12" s="9">
        <v>0</v>
      </c>
      <c r="C12" s="10">
        <f t="shared" si="0"/>
        <v>9.25</v>
      </c>
      <c r="D12" s="10">
        <v>14.8</v>
      </c>
      <c r="E12" s="10">
        <f t="shared" si="1"/>
        <v>29.200000000000003</v>
      </c>
      <c r="F12" s="10">
        <f t="shared" si="2"/>
        <v>135.05000000000001</v>
      </c>
      <c r="G12" s="10">
        <f t="shared" si="3"/>
        <v>0</v>
      </c>
      <c r="H12" s="10">
        <f t="shared" si="4"/>
        <v>-133.20000000000002</v>
      </c>
      <c r="I12" s="10">
        <f t="shared" si="5"/>
        <v>-616.05000000000007</v>
      </c>
      <c r="J12" s="10">
        <f t="shared" si="6"/>
        <v>3241.7920000000004</v>
      </c>
      <c r="K12" s="10">
        <f t="shared" si="7"/>
        <v>6227.7760000000007</v>
      </c>
      <c r="L12" s="10">
        <f t="shared" si="8"/>
        <v>28803.464000000004</v>
      </c>
      <c r="M12" s="10">
        <f t="shared" si="9"/>
        <v>0</v>
      </c>
      <c r="N12" s="10">
        <f t="shared" si="10"/>
        <v>1232.1000000000001</v>
      </c>
      <c r="O12" s="18">
        <f t="shared" si="11"/>
        <v>5698.4625000000005</v>
      </c>
    </row>
    <row r="13" spans="1:15" ht="15.75" thickBot="1" x14ac:dyDescent="0.3">
      <c r="A13" s="30">
        <v>11</v>
      </c>
      <c r="B13" s="9">
        <v>9.25</v>
      </c>
      <c r="C13" s="10">
        <f t="shared" si="0"/>
        <v>9.25</v>
      </c>
      <c r="D13" s="10">
        <v>14.7</v>
      </c>
      <c r="E13" s="10">
        <f t="shared" si="1"/>
        <v>29.5</v>
      </c>
      <c r="F13" s="10">
        <f t="shared" si="2"/>
        <v>136.4375</v>
      </c>
      <c r="G13" s="10">
        <f t="shared" si="3"/>
        <v>135.97499999999999</v>
      </c>
      <c r="H13" s="10">
        <f t="shared" si="4"/>
        <v>135.97499999999999</v>
      </c>
      <c r="I13" s="10">
        <f t="shared" si="5"/>
        <v>628.88437499999998</v>
      </c>
      <c r="J13" s="10">
        <f t="shared" si="6"/>
        <v>3176.5229999999997</v>
      </c>
      <c r="K13" s="10">
        <f t="shared" si="7"/>
        <v>6418.3150000000005</v>
      </c>
      <c r="L13" s="10">
        <f t="shared" si="8"/>
        <v>29684.706875000003</v>
      </c>
      <c r="M13" s="10">
        <f t="shared" si="9"/>
        <v>1257.76875</v>
      </c>
      <c r="N13" s="10">
        <f t="shared" si="10"/>
        <v>1257.76875</v>
      </c>
      <c r="O13" s="18">
        <f t="shared" si="11"/>
        <v>5817.1804687499998</v>
      </c>
    </row>
    <row r="14" spans="1:15" ht="15.75" thickBot="1" x14ac:dyDescent="0.3">
      <c r="A14" s="30">
        <v>12</v>
      </c>
      <c r="B14" s="9">
        <v>18.5</v>
      </c>
      <c r="C14" s="10">
        <f t="shared" si="0"/>
        <v>9.25</v>
      </c>
      <c r="D14" s="10">
        <v>14</v>
      </c>
      <c r="E14" s="10">
        <f t="shared" si="1"/>
        <v>28.7</v>
      </c>
      <c r="F14" s="10">
        <f t="shared" si="2"/>
        <v>132.73749999999998</v>
      </c>
      <c r="G14" s="10">
        <f t="shared" si="3"/>
        <v>259</v>
      </c>
      <c r="H14" s="10">
        <f t="shared" si="4"/>
        <v>394.97500000000002</v>
      </c>
      <c r="I14" s="10">
        <f t="shared" si="5"/>
        <v>1826.7593750000001</v>
      </c>
      <c r="J14" s="10">
        <f t="shared" si="6"/>
        <v>2744</v>
      </c>
      <c r="K14" s="10">
        <f t="shared" si="7"/>
        <v>5920.5229999999992</v>
      </c>
      <c r="L14" s="10">
        <f t="shared" si="8"/>
        <v>27382.418874999996</v>
      </c>
      <c r="M14" s="10">
        <f t="shared" si="9"/>
        <v>4791.5</v>
      </c>
      <c r="N14" s="10">
        <f t="shared" si="10"/>
        <v>6049.2687500000002</v>
      </c>
      <c r="O14" s="18">
        <f t="shared" si="11"/>
        <v>27977.867968750001</v>
      </c>
    </row>
    <row r="15" spans="1:15" ht="15.75" thickBot="1" x14ac:dyDescent="0.3">
      <c r="A15" s="30">
        <v>13</v>
      </c>
      <c r="B15" s="9">
        <v>27.75</v>
      </c>
      <c r="C15" s="10">
        <f t="shared" si="0"/>
        <v>9.25</v>
      </c>
      <c r="D15" s="10">
        <v>12.4</v>
      </c>
      <c r="E15" s="10">
        <f t="shared" si="1"/>
        <v>26.4</v>
      </c>
      <c r="F15" s="10">
        <f t="shared" si="2"/>
        <v>122.1</v>
      </c>
      <c r="G15" s="10">
        <f t="shared" si="3"/>
        <v>344.1</v>
      </c>
      <c r="H15" s="10">
        <f t="shared" si="4"/>
        <v>603.1</v>
      </c>
      <c r="I15" s="10">
        <f t="shared" si="5"/>
        <v>2789.3375000000001</v>
      </c>
      <c r="J15" s="10">
        <f t="shared" si="6"/>
        <v>1906.6240000000003</v>
      </c>
      <c r="K15" s="10">
        <f t="shared" si="7"/>
        <v>4650.6239999999998</v>
      </c>
      <c r="L15" s="10">
        <f t="shared" si="8"/>
        <v>21509.135999999999</v>
      </c>
      <c r="M15" s="10">
        <f t="shared" si="9"/>
        <v>9548.7749999999996</v>
      </c>
      <c r="N15" s="10">
        <f t="shared" si="10"/>
        <v>14340.275</v>
      </c>
      <c r="O15" s="18">
        <f t="shared" si="11"/>
        <v>66323.771874999991</v>
      </c>
    </row>
    <row r="16" spans="1:15" ht="15.75" thickBot="1" x14ac:dyDescent="0.3">
      <c r="A16" s="30">
        <v>14</v>
      </c>
      <c r="B16" s="9">
        <v>37</v>
      </c>
      <c r="C16" s="10">
        <f t="shared" si="0"/>
        <v>9.25</v>
      </c>
      <c r="D16" s="10">
        <v>10.1</v>
      </c>
      <c r="E16" s="10">
        <f t="shared" si="1"/>
        <v>22.5</v>
      </c>
      <c r="F16" s="10">
        <f t="shared" si="2"/>
        <v>104.0625</v>
      </c>
      <c r="G16" s="10">
        <f t="shared" si="3"/>
        <v>373.7</v>
      </c>
      <c r="H16" s="10">
        <f t="shared" si="4"/>
        <v>717.8</v>
      </c>
      <c r="I16" s="10">
        <f t="shared" si="5"/>
        <v>3319.8249999999998</v>
      </c>
      <c r="J16" s="10">
        <f t="shared" si="6"/>
        <v>1030.3009999999999</v>
      </c>
      <c r="K16" s="10">
        <f t="shared" si="7"/>
        <v>2936.9250000000002</v>
      </c>
      <c r="L16" s="10">
        <f t="shared" si="8"/>
        <v>13583.278125000001</v>
      </c>
      <c r="M16" s="10">
        <f t="shared" si="9"/>
        <v>13826.9</v>
      </c>
      <c r="N16" s="10">
        <f t="shared" si="10"/>
        <v>23375.674999999999</v>
      </c>
      <c r="O16" s="18">
        <f t="shared" si="11"/>
        <v>108112.496875</v>
      </c>
    </row>
    <row r="17" spans="1:15" ht="15.75" thickBot="1" x14ac:dyDescent="0.3">
      <c r="A17" s="30">
        <v>15</v>
      </c>
      <c r="B17" s="9">
        <v>46.25</v>
      </c>
      <c r="C17" s="10">
        <f t="shared" si="0"/>
        <v>9.25</v>
      </c>
      <c r="D17" s="10">
        <v>7.25</v>
      </c>
      <c r="E17" s="10">
        <f t="shared" si="1"/>
        <v>17.350000000000001</v>
      </c>
      <c r="F17" s="10">
        <f t="shared" si="2"/>
        <v>80.243750000000006</v>
      </c>
      <c r="G17" s="10">
        <f t="shared" si="3"/>
        <v>335.3125</v>
      </c>
      <c r="H17" s="10">
        <f t="shared" si="4"/>
        <v>709.01250000000005</v>
      </c>
      <c r="I17" s="10">
        <f t="shared" si="5"/>
        <v>3279.1828125000002</v>
      </c>
      <c r="J17" s="10">
        <f t="shared" si="6"/>
        <v>381.078125</v>
      </c>
      <c r="K17" s="10">
        <f t="shared" si="7"/>
        <v>1411.3791249999999</v>
      </c>
      <c r="L17" s="10">
        <f t="shared" si="8"/>
        <v>6527.6284531249994</v>
      </c>
      <c r="M17" s="10">
        <f t="shared" si="9"/>
        <v>15508.203125</v>
      </c>
      <c r="N17" s="10">
        <f t="shared" si="10"/>
        <v>29335.103125000001</v>
      </c>
      <c r="O17" s="18">
        <f t="shared" si="11"/>
        <v>135674.85195312501</v>
      </c>
    </row>
    <row r="18" spans="1:15" ht="15.75" thickBot="1" x14ac:dyDescent="0.3">
      <c r="A18" s="30">
        <v>16</v>
      </c>
      <c r="B18" s="9">
        <v>55.5</v>
      </c>
      <c r="C18" s="10">
        <f t="shared" si="0"/>
        <v>9.25</v>
      </c>
      <c r="D18" s="10">
        <v>4.66</v>
      </c>
      <c r="E18" s="10">
        <f t="shared" si="1"/>
        <v>11.91</v>
      </c>
      <c r="F18" s="10">
        <f t="shared" si="2"/>
        <v>55.083750000000002</v>
      </c>
      <c r="G18" s="10">
        <f t="shared" si="3"/>
        <v>258.63</v>
      </c>
      <c r="H18" s="10">
        <f t="shared" si="4"/>
        <v>593.9425</v>
      </c>
      <c r="I18" s="10">
        <f t="shared" si="5"/>
        <v>2746.9840625000002</v>
      </c>
      <c r="J18" s="10">
        <f t="shared" si="6"/>
        <v>101.19469600000001</v>
      </c>
      <c r="K18" s="10">
        <f t="shared" si="7"/>
        <v>482.27282100000002</v>
      </c>
      <c r="L18" s="10">
        <f t="shared" si="8"/>
        <v>2230.5117971250002</v>
      </c>
      <c r="M18" s="10">
        <f t="shared" si="9"/>
        <v>14353.965</v>
      </c>
      <c r="N18" s="10">
        <f t="shared" si="10"/>
        <v>29862.168125</v>
      </c>
      <c r="O18" s="18">
        <f t="shared" si="11"/>
        <v>138112.52757812501</v>
      </c>
    </row>
    <row r="19" spans="1:15" ht="15.75" thickBot="1" x14ac:dyDescent="0.3">
      <c r="A19" s="30">
        <v>17</v>
      </c>
      <c r="B19" s="9">
        <v>64.75</v>
      </c>
      <c r="C19" s="10">
        <f t="shared" si="0"/>
        <v>9.25</v>
      </c>
      <c r="D19" s="10">
        <v>2.92</v>
      </c>
      <c r="E19" s="10">
        <f t="shared" si="1"/>
        <v>7.58</v>
      </c>
      <c r="F19" s="10">
        <f t="shared" si="2"/>
        <v>35.057499999999997</v>
      </c>
      <c r="G19" s="10">
        <f t="shared" si="3"/>
        <v>189.07</v>
      </c>
      <c r="H19" s="10">
        <f t="shared" si="4"/>
        <v>447.7</v>
      </c>
      <c r="I19" s="10">
        <f t="shared" si="5"/>
        <v>2070.6124999999997</v>
      </c>
      <c r="J19" s="10">
        <f t="shared" si="6"/>
        <v>24.897087999999997</v>
      </c>
      <c r="K19" s="10">
        <f t="shared" si="7"/>
        <v>126.091784</v>
      </c>
      <c r="L19" s="10">
        <f t="shared" si="8"/>
        <v>583.17450099999996</v>
      </c>
      <c r="M19" s="10">
        <f t="shared" si="9"/>
        <v>12242.282499999999</v>
      </c>
      <c r="N19" s="10">
        <f t="shared" si="10"/>
        <v>26596.247499999998</v>
      </c>
      <c r="O19" s="18">
        <f t="shared" si="11"/>
        <v>123007.6446875</v>
      </c>
    </row>
    <row r="20" spans="1:15" ht="15.75" thickBot="1" x14ac:dyDescent="0.3">
      <c r="A20" s="30">
        <v>18</v>
      </c>
      <c r="B20" s="9">
        <v>74</v>
      </c>
      <c r="C20" s="10">
        <f t="shared" si="0"/>
        <v>9.25</v>
      </c>
      <c r="D20" s="10">
        <v>1.9</v>
      </c>
      <c r="E20" s="10">
        <f t="shared" si="1"/>
        <v>4.82</v>
      </c>
      <c r="F20" s="10">
        <f t="shared" si="2"/>
        <v>22.2925</v>
      </c>
      <c r="G20" s="10">
        <f t="shared" si="3"/>
        <v>140.6</v>
      </c>
      <c r="H20" s="10">
        <f t="shared" si="4"/>
        <v>329.66999999999996</v>
      </c>
      <c r="I20" s="10">
        <f t="shared" si="5"/>
        <v>1524.7237499999999</v>
      </c>
      <c r="J20" s="10">
        <f t="shared" si="6"/>
        <v>6.8589999999999991</v>
      </c>
      <c r="K20" s="10">
        <f t="shared" si="7"/>
        <v>31.756087999999995</v>
      </c>
      <c r="L20" s="10">
        <f t="shared" si="8"/>
        <v>146.87190699999996</v>
      </c>
      <c r="M20" s="10">
        <f t="shared" si="9"/>
        <v>10404.4</v>
      </c>
      <c r="N20" s="10">
        <f t="shared" si="10"/>
        <v>22646.682499999999</v>
      </c>
      <c r="O20" s="18">
        <f t="shared" si="11"/>
        <v>104740.90656249999</v>
      </c>
    </row>
    <row r="21" spans="1:15" ht="15.75" thickBot="1" x14ac:dyDescent="0.3">
      <c r="A21" s="30">
        <v>19</v>
      </c>
      <c r="B21" s="9">
        <v>83.25</v>
      </c>
      <c r="C21" s="10">
        <f t="shared" si="0"/>
        <v>9.25</v>
      </c>
      <c r="D21" s="10">
        <v>1.25</v>
      </c>
      <c r="E21" s="10">
        <f t="shared" si="1"/>
        <v>3.15</v>
      </c>
      <c r="F21" s="10">
        <f t="shared" si="2"/>
        <v>14.56875</v>
      </c>
      <c r="G21" s="10">
        <f t="shared" si="3"/>
        <v>104.0625</v>
      </c>
      <c r="H21" s="10">
        <f t="shared" si="4"/>
        <v>244.66249999999999</v>
      </c>
      <c r="I21" s="10">
        <f t="shared" si="5"/>
        <v>1131.5640624999999</v>
      </c>
      <c r="J21" s="10">
        <f t="shared" si="6"/>
        <v>1.953125</v>
      </c>
      <c r="K21" s="10">
        <f t="shared" si="7"/>
        <v>8.8121249999999982</v>
      </c>
      <c r="L21" s="10">
        <f t="shared" si="8"/>
        <v>40.756078124999995</v>
      </c>
      <c r="M21" s="10">
        <f t="shared" si="9"/>
        <v>8663.203125</v>
      </c>
      <c r="N21" s="10">
        <f t="shared" si="10"/>
        <v>19067.603125000001</v>
      </c>
      <c r="O21" s="18">
        <f t="shared" si="11"/>
        <v>88187.664453125006</v>
      </c>
    </row>
    <row r="22" spans="1:15" ht="15.75" thickBot="1" x14ac:dyDescent="0.3">
      <c r="A22" s="30">
        <v>20</v>
      </c>
      <c r="B22" s="9">
        <v>92.5</v>
      </c>
      <c r="C22" s="10">
        <f t="shared" si="0"/>
        <v>9.25</v>
      </c>
      <c r="D22" s="10">
        <v>0.20499999999999999</v>
      </c>
      <c r="E22" s="10">
        <f t="shared" si="1"/>
        <v>1.4550000000000001</v>
      </c>
      <c r="F22" s="10">
        <f t="shared" si="2"/>
        <v>6.7293750000000001</v>
      </c>
      <c r="G22" s="10">
        <f t="shared" si="3"/>
        <v>18.962499999999999</v>
      </c>
      <c r="H22" s="10">
        <f t="shared" si="4"/>
        <v>123.02500000000001</v>
      </c>
      <c r="I22" s="10">
        <f t="shared" si="5"/>
        <v>568.99062500000002</v>
      </c>
      <c r="J22" s="10">
        <f t="shared" si="6"/>
        <v>8.6151249999999978E-3</v>
      </c>
      <c r="K22" s="10">
        <f t="shared" si="7"/>
        <v>1.9617401249999999</v>
      </c>
      <c r="L22" s="10">
        <f t="shared" si="8"/>
        <v>9.0730480781249998</v>
      </c>
      <c r="M22" s="10">
        <f t="shared" si="9"/>
        <v>1754.03125</v>
      </c>
      <c r="N22" s="10">
        <f t="shared" si="10"/>
        <v>10417.234375</v>
      </c>
      <c r="O22" s="18">
        <f t="shared" si="11"/>
        <v>48179.708984375</v>
      </c>
    </row>
    <row r="23" spans="1:15" ht="15.75" thickBot="1" x14ac:dyDescent="0.3">
      <c r="A23" s="30" t="s">
        <v>60</v>
      </c>
      <c r="B23" s="9">
        <v>93.232622716833703</v>
      </c>
      <c r="C23" s="10">
        <f t="shared" si="0"/>
        <v>0.73262271683370273</v>
      </c>
      <c r="D23" s="10">
        <v>0</v>
      </c>
      <c r="E23" s="10">
        <f t="shared" si="1"/>
        <v>0.20499999999999999</v>
      </c>
      <c r="F23" s="10">
        <f t="shared" si="2"/>
        <v>7.5093828475454524E-2</v>
      </c>
      <c r="G23" s="10">
        <f t="shared" si="3"/>
        <v>0</v>
      </c>
      <c r="H23" s="10">
        <f t="shared" si="4"/>
        <v>18.962499999999999</v>
      </c>
      <c r="I23" s="10">
        <f t="shared" si="5"/>
        <v>6.9461791339795438</v>
      </c>
      <c r="J23" s="10">
        <f t="shared" si="6"/>
        <v>0</v>
      </c>
      <c r="K23" s="10">
        <f t="shared" si="7"/>
        <v>8.6151249999999978E-3</v>
      </c>
      <c r="L23" s="10">
        <f t="shared" si="8"/>
        <v>3.1558181416809759E-3</v>
      </c>
      <c r="M23" s="10">
        <f t="shared" si="9"/>
        <v>0</v>
      </c>
      <c r="N23" s="10">
        <f t="shared" si="10"/>
        <v>1754.03125</v>
      </c>
      <c r="O23" s="18">
        <f t="shared" si="11"/>
        <v>642.52156989310777</v>
      </c>
    </row>
    <row r="24" spans="1:15" ht="15.75" thickBot="1" x14ac:dyDescent="0.3">
      <c r="A24" s="50" t="s">
        <v>61</v>
      </c>
      <c r="B24" s="34"/>
      <c r="C24" s="34"/>
      <c r="D24" s="34"/>
      <c r="E24" s="34"/>
      <c r="F24" s="34">
        <f>SUM(F3:F23)</f>
        <v>1360.1874608685248</v>
      </c>
      <c r="G24" s="34"/>
      <c r="H24" s="34"/>
      <c r="I24" s="34">
        <f>SUM(I3:I23)</f>
        <v>2540.0177167998499</v>
      </c>
      <c r="J24" s="34"/>
      <c r="K24" s="34"/>
      <c r="L24" s="34">
        <f>SUM(L3:L23)</f>
        <v>188716.98559879611</v>
      </c>
      <c r="M24" s="34"/>
      <c r="N24" s="34"/>
      <c r="O24" s="20">
        <f>SUM(O3:O23)</f>
        <v>1557534.2297310843</v>
      </c>
    </row>
    <row r="25" spans="1:15" x14ac:dyDescent="0.25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11</v>
      </c>
      <c r="B27" s="21">
        <f>2*F24</f>
        <v>2720.3749217370496</v>
      </c>
      <c r="C27" s="23" t="s">
        <v>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63</v>
      </c>
      <c r="B28" s="24">
        <f>2*I24</f>
        <v>5080.0354335996999</v>
      </c>
      <c r="C28" s="26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15</v>
      </c>
      <c r="B29" s="24">
        <f>B28/B27</f>
        <v>1.8674026851989685</v>
      </c>
      <c r="C29" s="26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16</v>
      </c>
      <c r="B30" s="24">
        <f>2/3*L24</f>
        <v>125811.32373253073</v>
      </c>
      <c r="C30" s="26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17</v>
      </c>
      <c r="B31" s="24">
        <f>2*O24</f>
        <v>3115068.4594621686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18</v>
      </c>
      <c r="B32" s="27">
        <f>B31-(B29)^2*B27</f>
        <v>3105581.9876525588</v>
      </c>
      <c r="C32" s="29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AE4E-7B17-479B-A183-31F7969A9E9B}">
  <dimension ref="A1:O32"/>
  <sheetViews>
    <sheetView workbookViewId="0">
      <selection activeCell="Q32" sqref="Q32"/>
    </sheetView>
  </sheetViews>
  <sheetFormatPr defaultRowHeight="15" x14ac:dyDescent="0.25"/>
  <cols>
    <col min="1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94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49">
        <v>-86.900331614163406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</row>
    <row r="3" spans="1:15" ht="15.75" thickBot="1" x14ac:dyDescent="0.3">
      <c r="A3" s="30">
        <v>1</v>
      </c>
      <c r="B3" s="9">
        <v>-83.25</v>
      </c>
      <c r="C3" s="10">
        <f t="shared" ref="C3:C23" si="0">B3-B2</f>
        <v>3.6503316141634059</v>
      </c>
      <c r="D3" s="10">
        <v>1.18</v>
      </c>
      <c r="E3" s="10">
        <f t="shared" ref="E3:E23" si="1">D2+D3</f>
        <v>1.18</v>
      </c>
      <c r="F3" s="10">
        <f t="shared" ref="F3:F23" si="2">C3*E3/2</f>
        <v>2.1536956523564093</v>
      </c>
      <c r="G3" s="10">
        <f t="shared" ref="G3:G23" si="3">B3*D3</f>
        <v>-98.234999999999999</v>
      </c>
      <c r="H3" s="10">
        <f t="shared" ref="H3:H23" si="4">G2+G3</f>
        <v>-98.234999999999999</v>
      </c>
      <c r="I3" s="10">
        <f t="shared" ref="I3:I23" si="5">C3*H3/2</f>
        <v>-179.29516305867108</v>
      </c>
      <c r="J3" s="10">
        <f t="shared" ref="J3:J23" si="6">D3^3</f>
        <v>1.6430319999999998</v>
      </c>
      <c r="K3" s="10">
        <f t="shared" ref="K3:K23" si="7">J2+J3</f>
        <v>1.6430319999999998</v>
      </c>
      <c r="L3" s="10">
        <f t="shared" ref="L3:L23" si="8">C3*K3/2</f>
        <v>2.9988058263410644</v>
      </c>
      <c r="M3" s="10">
        <f t="shared" ref="M3:M23" si="9">B3^2*D3</f>
        <v>8178.0637499999993</v>
      </c>
      <c r="N3" s="10">
        <f t="shared" ref="N3:N23" si="10">M2+M3</f>
        <v>8178.0637499999993</v>
      </c>
      <c r="O3" s="18">
        <f t="shared" ref="O3:O23" si="11">C3*N3/2</f>
        <v>14926.322324634368</v>
      </c>
    </row>
    <row r="4" spans="1:15" ht="15.75" thickBot="1" x14ac:dyDescent="0.3">
      <c r="A4" s="30">
        <v>2</v>
      </c>
      <c r="B4" s="9">
        <v>-74</v>
      </c>
      <c r="C4" s="10">
        <f t="shared" si="0"/>
        <v>9.25</v>
      </c>
      <c r="D4" s="10">
        <v>2.19</v>
      </c>
      <c r="E4" s="10">
        <f t="shared" si="1"/>
        <v>3.37</v>
      </c>
      <c r="F4" s="10">
        <f t="shared" si="2"/>
        <v>15.58625</v>
      </c>
      <c r="G4" s="10">
        <f t="shared" si="3"/>
        <v>-162.06</v>
      </c>
      <c r="H4" s="10">
        <f t="shared" si="4"/>
        <v>-260.29500000000002</v>
      </c>
      <c r="I4" s="10">
        <f t="shared" si="5"/>
        <v>-1203.8643750000001</v>
      </c>
      <c r="J4" s="10">
        <f t="shared" si="6"/>
        <v>10.503458999999999</v>
      </c>
      <c r="K4" s="10">
        <f t="shared" si="7"/>
        <v>12.146490999999999</v>
      </c>
      <c r="L4" s="10">
        <f t="shared" si="8"/>
        <v>56.177520874999999</v>
      </c>
      <c r="M4" s="10">
        <f t="shared" si="9"/>
        <v>11992.44</v>
      </c>
      <c r="N4" s="10">
        <f t="shared" si="10"/>
        <v>20170.50375</v>
      </c>
      <c r="O4" s="18">
        <f t="shared" si="11"/>
        <v>93288.579843750005</v>
      </c>
    </row>
    <row r="5" spans="1:15" ht="15.75" thickBot="1" x14ac:dyDescent="0.3">
      <c r="A5" s="30">
        <v>3</v>
      </c>
      <c r="B5" s="9">
        <v>-64.75</v>
      </c>
      <c r="C5" s="10">
        <f t="shared" si="0"/>
        <v>9.25</v>
      </c>
      <c r="D5" s="10">
        <v>3.55</v>
      </c>
      <c r="E5" s="10">
        <f t="shared" si="1"/>
        <v>5.74</v>
      </c>
      <c r="F5" s="10">
        <f t="shared" si="2"/>
        <v>26.547499999999999</v>
      </c>
      <c r="G5" s="10">
        <f t="shared" si="3"/>
        <v>-229.86249999999998</v>
      </c>
      <c r="H5" s="10">
        <f t="shared" si="4"/>
        <v>-391.92250000000001</v>
      </c>
      <c r="I5" s="10">
        <f t="shared" si="5"/>
        <v>-1812.6415625</v>
      </c>
      <c r="J5" s="10">
        <f t="shared" si="6"/>
        <v>44.738874999999993</v>
      </c>
      <c r="K5" s="10">
        <f t="shared" si="7"/>
        <v>55.242333999999992</v>
      </c>
      <c r="L5" s="10">
        <f t="shared" si="8"/>
        <v>255.49579474999996</v>
      </c>
      <c r="M5" s="10">
        <f t="shared" si="9"/>
        <v>14883.596874999999</v>
      </c>
      <c r="N5" s="10">
        <f t="shared" si="10"/>
        <v>26876.036874999998</v>
      </c>
      <c r="O5" s="18">
        <f t="shared" si="11"/>
        <v>124301.67054687499</v>
      </c>
    </row>
    <row r="6" spans="1:15" ht="15.75" thickBot="1" x14ac:dyDescent="0.3">
      <c r="A6" s="30">
        <v>4</v>
      </c>
      <c r="B6" s="9">
        <v>-55.5</v>
      </c>
      <c r="C6" s="10">
        <f t="shared" si="0"/>
        <v>9.25</v>
      </c>
      <c r="D6" s="10">
        <v>5.44</v>
      </c>
      <c r="E6" s="10">
        <f t="shared" si="1"/>
        <v>8.99</v>
      </c>
      <c r="F6" s="10">
        <f t="shared" si="2"/>
        <v>41.578749999999999</v>
      </c>
      <c r="G6" s="10">
        <f t="shared" si="3"/>
        <v>-301.92</v>
      </c>
      <c r="H6" s="10">
        <f t="shared" si="4"/>
        <v>-531.78250000000003</v>
      </c>
      <c r="I6" s="10">
        <f t="shared" si="5"/>
        <v>-2459.4940624999999</v>
      </c>
      <c r="J6" s="10">
        <f t="shared" si="6"/>
        <v>160.98918400000005</v>
      </c>
      <c r="K6" s="10">
        <f t="shared" si="7"/>
        <v>205.72805900000003</v>
      </c>
      <c r="L6" s="10">
        <f t="shared" si="8"/>
        <v>951.49227287500014</v>
      </c>
      <c r="M6" s="10">
        <f t="shared" si="9"/>
        <v>16756.560000000001</v>
      </c>
      <c r="N6" s="10">
        <f t="shared" si="10"/>
        <v>31640.156875000001</v>
      </c>
      <c r="O6" s="18">
        <f t="shared" si="11"/>
        <v>146335.72554687501</v>
      </c>
    </row>
    <row r="7" spans="1:15" ht="15.75" thickBot="1" x14ac:dyDescent="0.3">
      <c r="A7" s="30">
        <v>5</v>
      </c>
      <c r="B7" s="9">
        <v>-46.25</v>
      </c>
      <c r="C7" s="10">
        <f t="shared" si="0"/>
        <v>9.25</v>
      </c>
      <c r="D7" s="10">
        <v>8.0500000000000007</v>
      </c>
      <c r="E7" s="10">
        <f t="shared" si="1"/>
        <v>13.490000000000002</v>
      </c>
      <c r="F7" s="10">
        <f t="shared" si="2"/>
        <v>62.391250000000007</v>
      </c>
      <c r="G7" s="10">
        <f t="shared" si="3"/>
        <v>-372.31250000000006</v>
      </c>
      <c r="H7" s="10">
        <f t="shared" si="4"/>
        <v>-674.23250000000007</v>
      </c>
      <c r="I7" s="10">
        <f t="shared" si="5"/>
        <v>-3118.3253125000001</v>
      </c>
      <c r="J7" s="10">
        <f t="shared" si="6"/>
        <v>521.66012500000011</v>
      </c>
      <c r="K7" s="10">
        <f t="shared" si="7"/>
        <v>682.64930900000013</v>
      </c>
      <c r="L7" s="10">
        <f t="shared" si="8"/>
        <v>3157.2530541250007</v>
      </c>
      <c r="M7" s="10">
        <f t="shared" si="9"/>
        <v>17219.453125</v>
      </c>
      <c r="N7" s="10">
        <f t="shared" si="10"/>
        <v>33976.013124999998</v>
      </c>
      <c r="O7" s="18">
        <f t="shared" si="11"/>
        <v>157139.060703125</v>
      </c>
    </row>
    <row r="8" spans="1:15" ht="15.75" thickBot="1" x14ac:dyDescent="0.3">
      <c r="A8" s="30">
        <v>6</v>
      </c>
      <c r="B8" s="9">
        <v>-37</v>
      </c>
      <c r="C8" s="10">
        <f t="shared" si="0"/>
        <v>9.25</v>
      </c>
      <c r="D8" s="10">
        <v>10.9</v>
      </c>
      <c r="E8" s="10">
        <f t="shared" si="1"/>
        <v>18.950000000000003</v>
      </c>
      <c r="F8" s="10">
        <f t="shared" si="2"/>
        <v>87.643750000000011</v>
      </c>
      <c r="G8" s="10">
        <f t="shared" si="3"/>
        <v>-403.3</v>
      </c>
      <c r="H8" s="10">
        <f t="shared" si="4"/>
        <v>-775.61250000000007</v>
      </c>
      <c r="I8" s="10">
        <f t="shared" si="5"/>
        <v>-3587.2078125000003</v>
      </c>
      <c r="J8" s="10">
        <f t="shared" si="6"/>
        <v>1295.029</v>
      </c>
      <c r="K8" s="10">
        <f t="shared" si="7"/>
        <v>1816.6891250000001</v>
      </c>
      <c r="L8" s="10">
        <f t="shared" si="8"/>
        <v>8402.1872031250005</v>
      </c>
      <c r="M8" s="10">
        <f t="shared" si="9"/>
        <v>14922.1</v>
      </c>
      <c r="N8" s="10">
        <f t="shared" si="10"/>
        <v>32141.553124999999</v>
      </c>
      <c r="O8" s="18">
        <f t="shared" si="11"/>
        <v>148654.68320312499</v>
      </c>
    </row>
    <row r="9" spans="1:15" ht="15.75" thickBot="1" x14ac:dyDescent="0.3">
      <c r="A9" s="30">
        <v>7</v>
      </c>
      <c r="B9" s="9">
        <v>-27.75</v>
      </c>
      <c r="C9" s="10">
        <f t="shared" si="0"/>
        <v>9.25</v>
      </c>
      <c r="D9" s="10">
        <v>13.1</v>
      </c>
      <c r="E9" s="10">
        <f t="shared" si="1"/>
        <v>24</v>
      </c>
      <c r="F9" s="10">
        <f t="shared" si="2"/>
        <v>111</v>
      </c>
      <c r="G9" s="10">
        <f t="shared" si="3"/>
        <v>-363.52499999999998</v>
      </c>
      <c r="H9" s="10">
        <f t="shared" si="4"/>
        <v>-766.82500000000005</v>
      </c>
      <c r="I9" s="10">
        <f t="shared" si="5"/>
        <v>-3546.5656250000002</v>
      </c>
      <c r="J9" s="10">
        <f t="shared" si="6"/>
        <v>2248.0909999999999</v>
      </c>
      <c r="K9" s="10">
        <f t="shared" si="7"/>
        <v>3543.12</v>
      </c>
      <c r="L9" s="10">
        <f t="shared" si="8"/>
        <v>16386.93</v>
      </c>
      <c r="M9" s="10">
        <f t="shared" si="9"/>
        <v>10087.81875</v>
      </c>
      <c r="N9" s="10">
        <f t="shared" si="10"/>
        <v>25009.918750000001</v>
      </c>
      <c r="O9" s="18">
        <f t="shared" si="11"/>
        <v>115670.87421875</v>
      </c>
    </row>
    <row r="10" spans="1:15" ht="15.75" thickBot="1" x14ac:dyDescent="0.3">
      <c r="A10" s="30">
        <v>8</v>
      </c>
      <c r="B10" s="9">
        <v>-18.5</v>
      </c>
      <c r="C10" s="10">
        <f t="shared" si="0"/>
        <v>9.25</v>
      </c>
      <c r="D10" s="10">
        <v>14.5</v>
      </c>
      <c r="E10" s="10">
        <f t="shared" si="1"/>
        <v>27.6</v>
      </c>
      <c r="F10" s="10">
        <f t="shared" si="2"/>
        <v>127.65</v>
      </c>
      <c r="G10" s="10">
        <f t="shared" si="3"/>
        <v>-268.25</v>
      </c>
      <c r="H10" s="10">
        <f t="shared" si="4"/>
        <v>-631.77499999999998</v>
      </c>
      <c r="I10" s="10">
        <f t="shared" si="5"/>
        <v>-2921.9593749999999</v>
      </c>
      <c r="J10" s="10">
        <f t="shared" si="6"/>
        <v>3048.625</v>
      </c>
      <c r="K10" s="10">
        <f t="shared" si="7"/>
        <v>5296.7160000000003</v>
      </c>
      <c r="L10" s="10">
        <f t="shared" si="8"/>
        <v>24497.311500000003</v>
      </c>
      <c r="M10" s="10">
        <f t="shared" si="9"/>
        <v>4962.625</v>
      </c>
      <c r="N10" s="10">
        <f t="shared" si="10"/>
        <v>15050.44375</v>
      </c>
      <c r="O10" s="18">
        <f t="shared" si="11"/>
        <v>69608.302343750009</v>
      </c>
    </row>
    <row r="11" spans="1:15" ht="15.75" thickBot="1" x14ac:dyDescent="0.3">
      <c r="A11" s="30">
        <v>9</v>
      </c>
      <c r="B11" s="9">
        <v>-9.25</v>
      </c>
      <c r="C11" s="10">
        <f t="shared" si="0"/>
        <v>9.25</v>
      </c>
      <c r="D11" s="10">
        <v>15.3</v>
      </c>
      <c r="E11" s="10">
        <f t="shared" si="1"/>
        <v>29.8</v>
      </c>
      <c r="F11" s="10">
        <f t="shared" si="2"/>
        <v>137.82500000000002</v>
      </c>
      <c r="G11" s="10">
        <f t="shared" si="3"/>
        <v>-141.52500000000001</v>
      </c>
      <c r="H11" s="10">
        <f t="shared" si="4"/>
        <v>-409.77499999999998</v>
      </c>
      <c r="I11" s="10">
        <f t="shared" si="5"/>
        <v>-1895.2093749999999</v>
      </c>
      <c r="J11" s="10">
        <f t="shared" si="6"/>
        <v>3581.5770000000007</v>
      </c>
      <c r="K11" s="10">
        <f t="shared" si="7"/>
        <v>6630.2020000000011</v>
      </c>
      <c r="L11" s="10">
        <f t="shared" si="8"/>
        <v>30664.684250000006</v>
      </c>
      <c r="M11" s="10">
        <f t="shared" si="9"/>
        <v>1309.10625</v>
      </c>
      <c r="N11" s="10">
        <f t="shared" si="10"/>
        <v>6271.7312499999998</v>
      </c>
      <c r="O11" s="18">
        <f t="shared" si="11"/>
        <v>29006.757031249999</v>
      </c>
    </row>
    <row r="12" spans="1:15" ht="15.75" thickBot="1" x14ac:dyDescent="0.3">
      <c r="A12" s="30">
        <v>10</v>
      </c>
      <c r="B12" s="9">
        <v>0</v>
      </c>
      <c r="C12" s="10">
        <f t="shared" si="0"/>
        <v>9.25</v>
      </c>
      <c r="D12" s="10">
        <v>15.5</v>
      </c>
      <c r="E12" s="10">
        <f t="shared" si="1"/>
        <v>30.8</v>
      </c>
      <c r="F12" s="10">
        <f t="shared" si="2"/>
        <v>142.45000000000002</v>
      </c>
      <c r="G12" s="10">
        <f t="shared" si="3"/>
        <v>0</v>
      </c>
      <c r="H12" s="10">
        <f t="shared" si="4"/>
        <v>-141.52500000000001</v>
      </c>
      <c r="I12" s="10">
        <f t="shared" si="5"/>
        <v>-654.55312500000002</v>
      </c>
      <c r="J12" s="10">
        <f t="shared" si="6"/>
        <v>3723.875</v>
      </c>
      <c r="K12" s="10">
        <f t="shared" si="7"/>
        <v>7305.4520000000011</v>
      </c>
      <c r="L12" s="10">
        <f t="shared" si="8"/>
        <v>33787.715500000006</v>
      </c>
      <c r="M12" s="10">
        <f t="shared" si="9"/>
        <v>0</v>
      </c>
      <c r="N12" s="10">
        <f t="shared" si="10"/>
        <v>1309.10625</v>
      </c>
      <c r="O12" s="18">
        <f t="shared" si="11"/>
        <v>6054.6164062500002</v>
      </c>
    </row>
    <row r="13" spans="1:15" ht="15.75" thickBot="1" x14ac:dyDescent="0.3">
      <c r="A13" s="30">
        <v>11</v>
      </c>
      <c r="B13" s="9">
        <v>9.25</v>
      </c>
      <c r="C13" s="10">
        <f t="shared" si="0"/>
        <v>9.25</v>
      </c>
      <c r="D13" s="10">
        <v>15.5</v>
      </c>
      <c r="E13" s="10">
        <f t="shared" si="1"/>
        <v>31</v>
      </c>
      <c r="F13" s="10">
        <f t="shared" si="2"/>
        <v>143.375</v>
      </c>
      <c r="G13" s="10">
        <f t="shared" si="3"/>
        <v>143.375</v>
      </c>
      <c r="H13" s="10">
        <f t="shared" si="4"/>
        <v>143.375</v>
      </c>
      <c r="I13" s="10">
        <f t="shared" si="5"/>
        <v>663.109375</v>
      </c>
      <c r="J13" s="10">
        <f t="shared" si="6"/>
        <v>3723.875</v>
      </c>
      <c r="K13" s="10">
        <f t="shared" si="7"/>
        <v>7447.75</v>
      </c>
      <c r="L13" s="10">
        <f t="shared" si="8"/>
        <v>34445.84375</v>
      </c>
      <c r="M13" s="10">
        <f t="shared" si="9"/>
        <v>1326.21875</v>
      </c>
      <c r="N13" s="10">
        <f t="shared" si="10"/>
        <v>1326.21875</v>
      </c>
      <c r="O13" s="18">
        <f t="shared" si="11"/>
        <v>6133.76171875</v>
      </c>
    </row>
    <row r="14" spans="1:15" ht="15.75" thickBot="1" x14ac:dyDescent="0.3">
      <c r="A14" s="30">
        <v>12</v>
      </c>
      <c r="B14" s="9">
        <v>18.5</v>
      </c>
      <c r="C14" s="10">
        <f t="shared" si="0"/>
        <v>9.25</v>
      </c>
      <c r="D14" s="10">
        <v>15</v>
      </c>
      <c r="E14" s="10">
        <f t="shared" si="1"/>
        <v>30.5</v>
      </c>
      <c r="F14" s="10">
        <f t="shared" si="2"/>
        <v>141.0625</v>
      </c>
      <c r="G14" s="10">
        <f t="shared" si="3"/>
        <v>277.5</v>
      </c>
      <c r="H14" s="10">
        <f t="shared" si="4"/>
        <v>420.875</v>
      </c>
      <c r="I14" s="10">
        <f t="shared" si="5"/>
        <v>1946.546875</v>
      </c>
      <c r="J14" s="10">
        <f t="shared" si="6"/>
        <v>3375</v>
      </c>
      <c r="K14" s="10">
        <f t="shared" si="7"/>
        <v>7098.875</v>
      </c>
      <c r="L14" s="10">
        <f t="shared" si="8"/>
        <v>32832.296875</v>
      </c>
      <c r="M14" s="10">
        <f t="shared" si="9"/>
        <v>5133.75</v>
      </c>
      <c r="N14" s="10">
        <f t="shared" si="10"/>
        <v>6459.96875</v>
      </c>
      <c r="O14" s="18">
        <f t="shared" si="11"/>
        <v>29877.35546875</v>
      </c>
    </row>
    <row r="15" spans="1:15" ht="15.75" thickBot="1" x14ac:dyDescent="0.3">
      <c r="A15" s="30">
        <v>13</v>
      </c>
      <c r="B15" s="9">
        <v>27.75</v>
      </c>
      <c r="C15" s="10">
        <f t="shared" si="0"/>
        <v>9.25</v>
      </c>
      <c r="D15" s="10">
        <v>13.8</v>
      </c>
      <c r="E15" s="10">
        <f t="shared" si="1"/>
        <v>28.8</v>
      </c>
      <c r="F15" s="10">
        <f t="shared" si="2"/>
        <v>133.20000000000002</v>
      </c>
      <c r="G15" s="10">
        <f t="shared" si="3"/>
        <v>382.95000000000005</v>
      </c>
      <c r="H15" s="10">
        <f t="shared" si="4"/>
        <v>660.45</v>
      </c>
      <c r="I15" s="10">
        <f t="shared" si="5"/>
        <v>3054.5812500000002</v>
      </c>
      <c r="J15" s="10">
        <f t="shared" si="6"/>
        <v>2628.0720000000006</v>
      </c>
      <c r="K15" s="10">
        <f t="shared" si="7"/>
        <v>6003.0720000000001</v>
      </c>
      <c r="L15" s="10">
        <f t="shared" si="8"/>
        <v>27764.207999999999</v>
      </c>
      <c r="M15" s="10">
        <f t="shared" si="9"/>
        <v>10626.862500000001</v>
      </c>
      <c r="N15" s="10">
        <f t="shared" si="10"/>
        <v>15760.612500000001</v>
      </c>
      <c r="O15" s="18">
        <f t="shared" si="11"/>
        <v>72892.832812500012</v>
      </c>
    </row>
    <row r="16" spans="1:15" ht="15.75" thickBot="1" x14ac:dyDescent="0.3">
      <c r="A16" s="30">
        <v>14</v>
      </c>
      <c r="B16" s="9">
        <v>37</v>
      </c>
      <c r="C16" s="10">
        <f t="shared" si="0"/>
        <v>9.25</v>
      </c>
      <c r="D16" s="10">
        <v>11.8</v>
      </c>
      <c r="E16" s="10">
        <f t="shared" si="1"/>
        <v>25.6</v>
      </c>
      <c r="F16" s="10">
        <f t="shared" si="2"/>
        <v>118.4</v>
      </c>
      <c r="G16" s="10">
        <f t="shared" si="3"/>
        <v>436.6</v>
      </c>
      <c r="H16" s="10">
        <f t="shared" si="4"/>
        <v>819.55000000000007</v>
      </c>
      <c r="I16" s="10">
        <f t="shared" si="5"/>
        <v>3790.4187500000003</v>
      </c>
      <c r="J16" s="10">
        <f t="shared" si="6"/>
        <v>1643.0320000000002</v>
      </c>
      <c r="K16" s="10">
        <f t="shared" si="7"/>
        <v>4271.1040000000012</v>
      </c>
      <c r="L16" s="10">
        <f t="shared" si="8"/>
        <v>19753.856000000007</v>
      </c>
      <c r="M16" s="10">
        <f t="shared" si="9"/>
        <v>16154.2</v>
      </c>
      <c r="N16" s="10">
        <f t="shared" si="10"/>
        <v>26781.0625</v>
      </c>
      <c r="O16" s="18">
        <f t="shared" si="11"/>
        <v>123862.4140625</v>
      </c>
    </row>
    <row r="17" spans="1:15" ht="15.75" thickBot="1" x14ac:dyDescent="0.3">
      <c r="A17" s="30">
        <v>15</v>
      </c>
      <c r="B17" s="9">
        <v>46.25</v>
      </c>
      <c r="C17" s="10">
        <f t="shared" si="0"/>
        <v>9.25</v>
      </c>
      <c r="D17" s="10">
        <v>8.9600000000000009</v>
      </c>
      <c r="E17" s="10">
        <f t="shared" si="1"/>
        <v>20.76</v>
      </c>
      <c r="F17" s="10">
        <f t="shared" si="2"/>
        <v>96.015000000000001</v>
      </c>
      <c r="G17" s="10">
        <f t="shared" si="3"/>
        <v>414.40000000000003</v>
      </c>
      <c r="H17" s="10">
        <f t="shared" si="4"/>
        <v>851</v>
      </c>
      <c r="I17" s="10">
        <f t="shared" si="5"/>
        <v>3935.875</v>
      </c>
      <c r="J17" s="10">
        <f t="shared" si="6"/>
        <v>719.3231360000002</v>
      </c>
      <c r="K17" s="10">
        <f t="shared" si="7"/>
        <v>2362.3551360000001</v>
      </c>
      <c r="L17" s="10">
        <f t="shared" si="8"/>
        <v>10925.892504000001</v>
      </c>
      <c r="M17" s="10">
        <f t="shared" si="9"/>
        <v>19166.000000000004</v>
      </c>
      <c r="N17" s="10">
        <f t="shared" si="10"/>
        <v>35320.200000000004</v>
      </c>
      <c r="O17" s="18">
        <f t="shared" si="11"/>
        <v>163355.92500000002</v>
      </c>
    </row>
    <row r="18" spans="1:15" ht="15.75" thickBot="1" x14ac:dyDescent="0.3">
      <c r="A18" s="30">
        <v>16</v>
      </c>
      <c r="B18" s="9">
        <v>55.5</v>
      </c>
      <c r="C18" s="10">
        <f t="shared" si="0"/>
        <v>9.25</v>
      </c>
      <c r="D18" s="10">
        <v>5.93</v>
      </c>
      <c r="E18" s="10">
        <f t="shared" si="1"/>
        <v>14.89</v>
      </c>
      <c r="F18" s="10">
        <f t="shared" si="2"/>
        <v>68.866250000000008</v>
      </c>
      <c r="G18" s="10">
        <f t="shared" si="3"/>
        <v>329.11500000000001</v>
      </c>
      <c r="H18" s="10">
        <f t="shared" si="4"/>
        <v>743.5150000000001</v>
      </c>
      <c r="I18" s="10">
        <f t="shared" si="5"/>
        <v>3438.7568750000005</v>
      </c>
      <c r="J18" s="10">
        <f t="shared" si="6"/>
        <v>208.52785699999995</v>
      </c>
      <c r="K18" s="10">
        <f t="shared" si="7"/>
        <v>927.85099300000013</v>
      </c>
      <c r="L18" s="10">
        <f t="shared" si="8"/>
        <v>4291.310842625001</v>
      </c>
      <c r="M18" s="10">
        <f t="shared" si="9"/>
        <v>18265.8825</v>
      </c>
      <c r="N18" s="10">
        <f t="shared" si="10"/>
        <v>37431.882500000007</v>
      </c>
      <c r="O18" s="18">
        <f t="shared" si="11"/>
        <v>173122.45656250004</v>
      </c>
    </row>
    <row r="19" spans="1:15" ht="15.75" thickBot="1" x14ac:dyDescent="0.3">
      <c r="A19" s="30">
        <v>17</v>
      </c>
      <c r="B19" s="9">
        <v>64.75</v>
      </c>
      <c r="C19" s="10">
        <f t="shared" si="0"/>
        <v>9.25</v>
      </c>
      <c r="D19" s="10">
        <v>3.79</v>
      </c>
      <c r="E19" s="10">
        <f t="shared" si="1"/>
        <v>9.7199999999999989</v>
      </c>
      <c r="F19" s="10">
        <f t="shared" si="2"/>
        <v>44.954999999999998</v>
      </c>
      <c r="G19" s="10">
        <f t="shared" si="3"/>
        <v>245.4025</v>
      </c>
      <c r="H19" s="10">
        <f t="shared" si="4"/>
        <v>574.51750000000004</v>
      </c>
      <c r="I19" s="10">
        <f t="shared" si="5"/>
        <v>2657.1434375000003</v>
      </c>
      <c r="J19" s="10">
        <f t="shared" si="6"/>
        <v>54.439939000000003</v>
      </c>
      <c r="K19" s="10">
        <f t="shared" si="7"/>
        <v>262.96779599999996</v>
      </c>
      <c r="L19" s="10">
        <f t="shared" si="8"/>
        <v>1216.2260564999999</v>
      </c>
      <c r="M19" s="10">
        <f t="shared" si="9"/>
        <v>15889.811874999999</v>
      </c>
      <c r="N19" s="10">
        <f t="shared" si="10"/>
        <v>34155.694374999999</v>
      </c>
      <c r="O19" s="18">
        <f t="shared" si="11"/>
        <v>157970.086484375</v>
      </c>
    </row>
    <row r="20" spans="1:15" ht="15.75" thickBot="1" x14ac:dyDescent="0.3">
      <c r="A20" s="30">
        <v>18</v>
      </c>
      <c r="B20" s="9">
        <v>74</v>
      </c>
      <c r="C20" s="10">
        <f t="shared" si="0"/>
        <v>9.25</v>
      </c>
      <c r="D20" s="10">
        <v>2.48</v>
      </c>
      <c r="E20" s="10">
        <f t="shared" si="1"/>
        <v>6.27</v>
      </c>
      <c r="F20" s="10">
        <f t="shared" si="2"/>
        <v>28.998749999999998</v>
      </c>
      <c r="G20" s="10">
        <f t="shared" si="3"/>
        <v>183.52</v>
      </c>
      <c r="H20" s="10">
        <f t="shared" si="4"/>
        <v>428.92250000000001</v>
      </c>
      <c r="I20" s="10">
        <f t="shared" si="5"/>
        <v>1983.7665625</v>
      </c>
      <c r="J20" s="10">
        <f t="shared" si="6"/>
        <v>15.252992000000001</v>
      </c>
      <c r="K20" s="10">
        <f t="shared" si="7"/>
        <v>69.692931000000002</v>
      </c>
      <c r="L20" s="10">
        <f t="shared" si="8"/>
        <v>322.32980587500003</v>
      </c>
      <c r="M20" s="10">
        <f t="shared" si="9"/>
        <v>13580.48</v>
      </c>
      <c r="N20" s="10">
        <f t="shared" si="10"/>
        <v>29470.291874999999</v>
      </c>
      <c r="O20" s="18">
        <f t="shared" si="11"/>
        <v>136300.09992187499</v>
      </c>
    </row>
    <row r="21" spans="1:15" ht="15.75" thickBot="1" x14ac:dyDescent="0.3">
      <c r="A21" s="30">
        <v>19</v>
      </c>
      <c r="B21" s="9">
        <v>83.25</v>
      </c>
      <c r="C21" s="10">
        <f t="shared" si="0"/>
        <v>9.25</v>
      </c>
      <c r="D21" s="10">
        <v>1.77</v>
      </c>
      <c r="E21" s="10">
        <f t="shared" si="1"/>
        <v>4.25</v>
      </c>
      <c r="F21" s="10">
        <f t="shared" si="2"/>
        <v>19.65625</v>
      </c>
      <c r="G21" s="10">
        <f t="shared" si="3"/>
        <v>147.35249999999999</v>
      </c>
      <c r="H21" s="10">
        <f t="shared" si="4"/>
        <v>330.8725</v>
      </c>
      <c r="I21" s="10">
        <f t="shared" si="5"/>
        <v>1530.2853124999999</v>
      </c>
      <c r="J21" s="10">
        <f t="shared" si="6"/>
        <v>5.5452330000000005</v>
      </c>
      <c r="K21" s="10">
        <f t="shared" si="7"/>
        <v>20.798225000000002</v>
      </c>
      <c r="L21" s="10">
        <f t="shared" si="8"/>
        <v>96.19179062500001</v>
      </c>
      <c r="M21" s="10">
        <f t="shared" si="9"/>
        <v>12267.095625</v>
      </c>
      <c r="N21" s="10">
        <f t="shared" si="10"/>
        <v>25847.575624999998</v>
      </c>
      <c r="O21" s="18">
        <f t="shared" si="11"/>
        <v>119545.037265625</v>
      </c>
    </row>
    <row r="22" spans="1:15" ht="15.75" thickBot="1" x14ac:dyDescent="0.3">
      <c r="A22" s="30">
        <v>20</v>
      </c>
      <c r="B22" s="9">
        <v>92.5</v>
      </c>
      <c r="C22" s="10">
        <f t="shared" si="0"/>
        <v>9.25</v>
      </c>
      <c r="D22" s="10">
        <v>1.0900000000000001</v>
      </c>
      <c r="E22" s="10">
        <f t="shared" si="1"/>
        <v>2.8600000000000003</v>
      </c>
      <c r="F22" s="10">
        <f t="shared" si="2"/>
        <v>13.227500000000001</v>
      </c>
      <c r="G22" s="10">
        <f t="shared" si="3"/>
        <v>100.825</v>
      </c>
      <c r="H22" s="10">
        <f t="shared" si="4"/>
        <v>248.17750000000001</v>
      </c>
      <c r="I22" s="10">
        <f t="shared" si="5"/>
        <v>1147.8209375000001</v>
      </c>
      <c r="J22" s="10">
        <f t="shared" si="6"/>
        <v>1.2950290000000002</v>
      </c>
      <c r="K22" s="10">
        <f t="shared" si="7"/>
        <v>6.840262000000001</v>
      </c>
      <c r="L22" s="10">
        <f t="shared" si="8"/>
        <v>31.636211750000005</v>
      </c>
      <c r="M22" s="10">
        <f t="shared" si="9"/>
        <v>9326.3125</v>
      </c>
      <c r="N22" s="10">
        <f t="shared" si="10"/>
        <v>21593.408125000002</v>
      </c>
      <c r="O22" s="18">
        <f t="shared" si="11"/>
        <v>99869.51257812501</v>
      </c>
    </row>
    <row r="23" spans="1:15" ht="15.75" thickBot="1" x14ac:dyDescent="0.3">
      <c r="A23" s="30" t="s">
        <v>60</v>
      </c>
      <c r="B23" s="9">
        <v>95.811042030616093</v>
      </c>
      <c r="C23" s="10">
        <f t="shared" si="0"/>
        <v>3.3110420306160933</v>
      </c>
      <c r="D23" s="10">
        <v>0</v>
      </c>
      <c r="E23" s="10">
        <f t="shared" si="1"/>
        <v>1.0900000000000001</v>
      </c>
      <c r="F23" s="10">
        <f t="shared" si="2"/>
        <v>1.8045179066857711</v>
      </c>
      <c r="G23" s="10">
        <f t="shared" si="3"/>
        <v>0</v>
      </c>
      <c r="H23" s="10">
        <f t="shared" si="4"/>
        <v>100.825</v>
      </c>
      <c r="I23" s="10">
        <f t="shared" si="5"/>
        <v>166.91790636843382</v>
      </c>
      <c r="J23" s="10">
        <f t="shared" si="6"/>
        <v>0</v>
      </c>
      <c r="K23" s="10">
        <f t="shared" si="7"/>
        <v>1.2950290000000002</v>
      </c>
      <c r="L23" s="10">
        <f t="shared" si="8"/>
        <v>2.1439477249333647</v>
      </c>
      <c r="M23" s="10">
        <f t="shared" si="9"/>
        <v>0</v>
      </c>
      <c r="N23" s="10">
        <f t="shared" si="10"/>
        <v>9326.3125</v>
      </c>
      <c r="O23" s="18">
        <f t="shared" si="11"/>
        <v>15439.906339080128</v>
      </c>
    </row>
    <row r="24" spans="1:15" ht="15.75" thickBot="1" x14ac:dyDescent="0.3">
      <c r="A24" s="30" t="s">
        <v>61</v>
      </c>
      <c r="B24" s="14"/>
      <c r="C24" s="34"/>
      <c r="D24" s="34"/>
      <c r="E24" s="34"/>
      <c r="F24" s="34">
        <f>SUM(F3:F23)</f>
        <v>1564.3869635590424</v>
      </c>
      <c r="G24" s="34"/>
      <c r="H24" s="34"/>
      <c r="I24" s="34">
        <f>SUM(I3:I23)</f>
        <v>2936.1064933097664</v>
      </c>
      <c r="J24" s="34"/>
      <c r="K24" s="34"/>
      <c r="L24" s="34">
        <f>SUM(L3:L23)</f>
        <v>249844.18168567625</v>
      </c>
      <c r="M24" s="34"/>
      <c r="N24" s="34"/>
      <c r="O24" s="20">
        <f>SUM(O3:O23)</f>
        <v>2003355.9803824648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11</v>
      </c>
      <c r="B27" s="21">
        <f>2*F24</f>
        <v>3128.7739271180849</v>
      </c>
      <c r="C27" s="23" t="s">
        <v>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63</v>
      </c>
      <c r="B28" s="24">
        <f>2*I24</f>
        <v>5872.2129866195328</v>
      </c>
      <c r="C28" s="26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15</v>
      </c>
      <c r="B29" s="24">
        <f>B28/B27</f>
        <v>1.8768415754565018</v>
      </c>
      <c r="C29" s="26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16</v>
      </c>
      <c r="B30" s="24">
        <f>2/3*L24</f>
        <v>166562.78779045082</v>
      </c>
      <c r="C30" s="26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17</v>
      </c>
      <c r="B31" s="24">
        <f>2*O24</f>
        <v>4006711.9607649297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18</v>
      </c>
      <c r="B32" s="27">
        <f>B31-(B29)^2*B27</f>
        <v>3995690.7472917065</v>
      </c>
      <c r="C32" s="29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DDF8-47FB-4715-96E8-B8C04E82E6F2}">
  <dimension ref="A1:O32"/>
  <sheetViews>
    <sheetView workbookViewId="0">
      <selection activeCell="Q31" sqref="Q31"/>
    </sheetView>
  </sheetViews>
  <sheetFormatPr defaultRowHeight="15" x14ac:dyDescent="0.25"/>
  <cols>
    <col min="1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49">
        <v>-87.836999892999998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</row>
    <row r="3" spans="1:15" ht="15.75" thickBot="1" x14ac:dyDescent="0.3">
      <c r="A3" s="30">
        <v>1</v>
      </c>
      <c r="B3" s="9">
        <v>-83.25</v>
      </c>
      <c r="C3" s="10">
        <f t="shared" ref="C3:C23" si="0">B3-B2</f>
        <v>4.586999892999998</v>
      </c>
      <c r="D3" s="10">
        <v>1.02</v>
      </c>
      <c r="E3" s="10">
        <f t="shared" ref="E3:E23" si="1">D3+D2</f>
        <v>1.02</v>
      </c>
      <c r="F3" s="10">
        <f t="shared" ref="F3:F23" si="2">C3*E3/2</f>
        <v>2.3393699454299992</v>
      </c>
      <c r="G3" s="10">
        <f t="shared" ref="G3:G23" si="3">B3*D3</f>
        <v>-84.915000000000006</v>
      </c>
      <c r="H3" s="10">
        <f t="shared" ref="H3:H23" si="4">G2+G3</f>
        <v>-84.915000000000006</v>
      </c>
      <c r="I3" s="10">
        <f t="shared" ref="I3:I23" si="5">C3*H3/2</f>
        <v>-194.75254795704743</v>
      </c>
      <c r="J3" s="10">
        <f t="shared" ref="J3:J23" si="6">D3^3</f>
        <v>1.0612079999999999</v>
      </c>
      <c r="K3" s="10">
        <f t="shared" ref="K3:K23" si="7">J2+J3</f>
        <v>1.0612079999999999</v>
      </c>
      <c r="L3" s="10">
        <f t="shared" ref="L3:L23" si="8">C3*K3/2</f>
        <v>2.4338804912253709</v>
      </c>
      <c r="M3" s="10">
        <f t="shared" ref="M3:M23" si="9">B3^2*D3</f>
        <v>7069.1737499999999</v>
      </c>
      <c r="N3" s="10">
        <f t="shared" ref="N3:N23" si="10">M2+M3</f>
        <v>7069.1737499999999</v>
      </c>
      <c r="O3" s="18">
        <f t="shared" ref="O3:O23" si="11">C3*N3/2</f>
        <v>16213.149617424197</v>
      </c>
    </row>
    <row r="4" spans="1:15" ht="15.75" thickBot="1" x14ac:dyDescent="0.3">
      <c r="A4" s="30">
        <v>2</v>
      </c>
      <c r="B4" s="9">
        <v>-74</v>
      </c>
      <c r="C4" s="10">
        <f t="shared" si="0"/>
        <v>9.25</v>
      </c>
      <c r="D4" s="10">
        <v>2.41</v>
      </c>
      <c r="E4" s="10">
        <f t="shared" si="1"/>
        <v>3.43</v>
      </c>
      <c r="F4" s="10">
        <f t="shared" si="2"/>
        <v>15.863750000000001</v>
      </c>
      <c r="G4" s="10">
        <f t="shared" si="3"/>
        <v>-178.34</v>
      </c>
      <c r="H4" s="10">
        <f t="shared" si="4"/>
        <v>-263.255</v>
      </c>
      <c r="I4" s="10">
        <f t="shared" si="5"/>
        <v>-1217.5543749999999</v>
      </c>
      <c r="J4" s="10">
        <f t="shared" si="6"/>
        <v>13.997521000000003</v>
      </c>
      <c r="K4" s="10">
        <f t="shared" si="7"/>
        <v>15.058729000000003</v>
      </c>
      <c r="L4" s="10">
        <f t="shared" si="8"/>
        <v>69.646621625000009</v>
      </c>
      <c r="M4" s="10">
        <f t="shared" si="9"/>
        <v>13197.160000000002</v>
      </c>
      <c r="N4" s="10">
        <f t="shared" si="10"/>
        <v>20266.333750000002</v>
      </c>
      <c r="O4" s="18">
        <f t="shared" si="11"/>
        <v>93731.793593750001</v>
      </c>
    </row>
    <row r="5" spans="1:15" ht="15.75" thickBot="1" x14ac:dyDescent="0.3">
      <c r="A5" s="30">
        <v>3</v>
      </c>
      <c r="B5" s="9">
        <v>-64.75</v>
      </c>
      <c r="C5" s="10">
        <f t="shared" si="0"/>
        <v>9.25</v>
      </c>
      <c r="D5" s="10">
        <v>4.2</v>
      </c>
      <c r="E5" s="10">
        <f t="shared" si="1"/>
        <v>6.61</v>
      </c>
      <c r="F5" s="10">
        <f t="shared" si="2"/>
        <v>30.571250000000003</v>
      </c>
      <c r="G5" s="10">
        <f t="shared" si="3"/>
        <v>-271.95</v>
      </c>
      <c r="H5" s="10">
        <f t="shared" si="4"/>
        <v>-450.28999999999996</v>
      </c>
      <c r="I5" s="10">
        <f t="shared" si="5"/>
        <v>-2082.5912499999999</v>
      </c>
      <c r="J5" s="10">
        <f t="shared" si="6"/>
        <v>74.088000000000008</v>
      </c>
      <c r="K5" s="10">
        <f t="shared" si="7"/>
        <v>88.085521000000014</v>
      </c>
      <c r="L5" s="10">
        <f t="shared" si="8"/>
        <v>407.39553462500004</v>
      </c>
      <c r="M5" s="10">
        <f t="shared" si="9"/>
        <v>17608.762500000001</v>
      </c>
      <c r="N5" s="10">
        <f t="shared" si="10"/>
        <v>30805.922500000001</v>
      </c>
      <c r="O5" s="18">
        <f t="shared" si="11"/>
        <v>142477.39156250001</v>
      </c>
    </row>
    <row r="6" spans="1:15" ht="15.75" thickBot="1" x14ac:dyDescent="0.3">
      <c r="A6" s="30">
        <v>4</v>
      </c>
      <c r="B6" s="9">
        <v>-55.5</v>
      </c>
      <c r="C6" s="10">
        <f t="shared" si="0"/>
        <v>9.25</v>
      </c>
      <c r="D6" s="10">
        <v>6.64</v>
      </c>
      <c r="E6" s="10">
        <f t="shared" si="1"/>
        <v>10.84</v>
      </c>
      <c r="F6" s="10">
        <f t="shared" si="2"/>
        <v>50.134999999999998</v>
      </c>
      <c r="G6" s="10">
        <f t="shared" si="3"/>
        <v>-368.52</v>
      </c>
      <c r="H6" s="10">
        <f t="shared" si="4"/>
        <v>-640.47</v>
      </c>
      <c r="I6" s="10">
        <f t="shared" si="5"/>
        <v>-2962.1737499999999</v>
      </c>
      <c r="J6" s="10">
        <f t="shared" si="6"/>
        <v>292.75494399999997</v>
      </c>
      <c r="K6" s="10">
        <f t="shared" si="7"/>
        <v>366.84294399999999</v>
      </c>
      <c r="L6" s="10">
        <f t="shared" si="8"/>
        <v>1696.6486159999999</v>
      </c>
      <c r="M6" s="10">
        <f t="shared" si="9"/>
        <v>20452.86</v>
      </c>
      <c r="N6" s="10">
        <f t="shared" si="10"/>
        <v>38061.622499999998</v>
      </c>
      <c r="O6" s="18">
        <f t="shared" si="11"/>
        <v>176035.0040625</v>
      </c>
    </row>
    <row r="7" spans="1:15" ht="15.75" thickBot="1" x14ac:dyDescent="0.3">
      <c r="A7" s="30">
        <v>5</v>
      </c>
      <c r="B7" s="9">
        <v>-46.25</v>
      </c>
      <c r="C7" s="10">
        <f t="shared" si="0"/>
        <v>9.25</v>
      </c>
      <c r="D7" s="10">
        <v>9.73</v>
      </c>
      <c r="E7" s="10">
        <f t="shared" si="1"/>
        <v>16.37</v>
      </c>
      <c r="F7" s="10">
        <f t="shared" si="2"/>
        <v>75.711250000000007</v>
      </c>
      <c r="G7" s="10">
        <f t="shared" si="3"/>
        <v>-450.01250000000005</v>
      </c>
      <c r="H7" s="10">
        <f t="shared" si="4"/>
        <v>-818.53250000000003</v>
      </c>
      <c r="I7" s="10">
        <f t="shared" si="5"/>
        <v>-3785.7128124999999</v>
      </c>
      <c r="J7" s="10">
        <f t="shared" si="6"/>
        <v>921.16731700000014</v>
      </c>
      <c r="K7" s="10">
        <f t="shared" si="7"/>
        <v>1213.9222610000002</v>
      </c>
      <c r="L7" s="10">
        <f t="shared" si="8"/>
        <v>5614.3904571250005</v>
      </c>
      <c r="M7" s="10">
        <f t="shared" si="9"/>
        <v>20813.078125</v>
      </c>
      <c r="N7" s="10">
        <f t="shared" si="10"/>
        <v>41265.938125000001</v>
      </c>
      <c r="O7" s="18">
        <f t="shared" si="11"/>
        <v>190854.96382812501</v>
      </c>
    </row>
    <row r="8" spans="1:15" ht="15.75" thickBot="1" x14ac:dyDescent="0.3">
      <c r="A8" s="30">
        <v>6</v>
      </c>
      <c r="B8" s="9">
        <v>-37</v>
      </c>
      <c r="C8" s="10">
        <f t="shared" si="0"/>
        <v>9.25</v>
      </c>
      <c r="D8" s="10">
        <v>12.5</v>
      </c>
      <c r="E8" s="10">
        <f t="shared" si="1"/>
        <v>22.23</v>
      </c>
      <c r="F8" s="10">
        <f t="shared" si="2"/>
        <v>102.81375</v>
      </c>
      <c r="G8" s="10">
        <f t="shared" si="3"/>
        <v>-462.5</v>
      </c>
      <c r="H8" s="10">
        <f t="shared" si="4"/>
        <v>-912.51250000000005</v>
      </c>
      <c r="I8" s="10">
        <f t="shared" si="5"/>
        <v>-4220.3703125000002</v>
      </c>
      <c r="J8" s="10">
        <f t="shared" si="6"/>
        <v>1953.125</v>
      </c>
      <c r="K8" s="10">
        <f t="shared" si="7"/>
        <v>2874.2923170000004</v>
      </c>
      <c r="L8" s="10">
        <f t="shared" si="8"/>
        <v>13293.601966125001</v>
      </c>
      <c r="M8" s="10">
        <f t="shared" si="9"/>
        <v>17112.5</v>
      </c>
      <c r="N8" s="10">
        <f t="shared" si="10"/>
        <v>37925.578125</v>
      </c>
      <c r="O8" s="18">
        <f t="shared" si="11"/>
        <v>175405.798828125</v>
      </c>
    </row>
    <row r="9" spans="1:15" ht="15.75" thickBot="1" x14ac:dyDescent="0.3">
      <c r="A9" s="30">
        <v>7</v>
      </c>
      <c r="B9" s="9">
        <v>-27.75</v>
      </c>
      <c r="C9" s="10">
        <f t="shared" si="0"/>
        <v>9.25</v>
      </c>
      <c r="D9" s="10">
        <v>14.3</v>
      </c>
      <c r="E9" s="10">
        <f t="shared" si="1"/>
        <v>26.8</v>
      </c>
      <c r="F9" s="10">
        <f t="shared" si="2"/>
        <v>123.95</v>
      </c>
      <c r="G9" s="10">
        <f t="shared" si="3"/>
        <v>-396.82500000000005</v>
      </c>
      <c r="H9" s="10">
        <f t="shared" si="4"/>
        <v>-859.32500000000005</v>
      </c>
      <c r="I9" s="10">
        <f t="shared" si="5"/>
        <v>-3974.3781250000002</v>
      </c>
      <c r="J9" s="10">
        <f t="shared" si="6"/>
        <v>2924.2070000000003</v>
      </c>
      <c r="K9" s="10">
        <f t="shared" si="7"/>
        <v>4877.3320000000003</v>
      </c>
      <c r="L9" s="10">
        <f t="shared" si="8"/>
        <v>22557.660500000002</v>
      </c>
      <c r="M9" s="10">
        <f t="shared" si="9"/>
        <v>11011.893750000001</v>
      </c>
      <c r="N9" s="10">
        <f t="shared" si="10"/>
        <v>28124.393750000003</v>
      </c>
      <c r="O9" s="18">
        <f t="shared" si="11"/>
        <v>130075.32109375001</v>
      </c>
    </row>
    <row r="10" spans="1:15" ht="15.75" thickBot="1" x14ac:dyDescent="0.3">
      <c r="A10" s="30">
        <v>8</v>
      </c>
      <c r="B10" s="9">
        <v>-18.5</v>
      </c>
      <c r="C10" s="10">
        <f t="shared" si="0"/>
        <v>9.25</v>
      </c>
      <c r="D10" s="10">
        <v>15.3</v>
      </c>
      <c r="E10" s="10">
        <f t="shared" si="1"/>
        <v>29.6</v>
      </c>
      <c r="F10" s="10">
        <f t="shared" si="2"/>
        <v>136.9</v>
      </c>
      <c r="G10" s="10">
        <f t="shared" si="3"/>
        <v>-283.05</v>
      </c>
      <c r="H10" s="10">
        <f t="shared" si="4"/>
        <v>-679.875</v>
      </c>
      <c r="I10" s="10">
        <f t="shared" si="5"/>
        <v>-3144.421875</v>
      </c>
      <c r="J10" s="10">
        <f t="shared" si="6"/>
        <v>3581.5770000000007</v>
      </c>
      <c r="K10" s="10">
        <f t="shared" si="7"/>
        <v>6505.7840000000015</v>
      </c>
      <c r="L10" s="10">
        <f t="shared" si="8"/>
        <v>30089.251000000007</v>
      </c>
      <c r="M10" s="10">
        <f t="shared" si="9"/>
        <v>5236.4250000000002</v>
      </c>
      <c r="N10" s="10">
        <f t="shared" si="10"/>
        <v>16248.318750000002</v>
      </c>
      <c r="O10" s="18">
        <f t="shared" si="11"/>
        <v>75148.474218750009</v>
      </c>
    </row>
    <row r="11" spans="1:15" ht="15.75" thickBot="1" x14ac:dyDescent="0.3">
      <c r="A11" s="30">
        <v>9</v>
      </c>
      <c r="B11" s="9">
        <v>-9.25</v>
      </c>
      <c r="C11" s="10">
        <f t="shared" si="0"/>
        <v>9.25</v>
      </c>
      <c r="D11" s="10">
        <v>15.8</v>
      </c>
      <c r="E11" s="10">
        <f t="shared" si="1"/>
        <v>31.1</v>
      </c>
      <c r="F11" s="10">
        <f t="shared" si="2"/>
        <v>143.83750000000001</v>
      </c>
      <c r="G11" s="10">
        <f t="shared" si="3"/>
        <v>-146.15</v>
      </c>
      <c r="H11" s="10">
        <f t="shared" si="4"/>
        <v>-429.20000000000005</v>
      </c>
      <c r="I11" s="10">
        <f t="shared" si="5"/>
        <v>-1985.0500000000002</v>
      </c>
      <c r="J11" s="10">
        <f t="shared" si="6"/>
        <v>3944.3120000000004</v>
      </c>
      <c r="K11" s="10">
        <f t="shared" si="7"/>
        <v>7525.889000000001</v>
      </c>
      <c r="L11" s="10">
        <f t="shared" si="8"/>
        <v>34807.236625000005</v>
      </c>
      <c r="M11" s="10">
        <f t="shared" si="9"/>
        <v>1351.8875</v>
      </c>
      <c r="N11" s="10">
        <f t="shared" si="10"/>
        <v>6588.3125</v>
      </c>
      <c r="O11" s="18">
        <f t="shared" si="11"/>
        <v>30470.9453125</v>
      </c>
    </row>
    <row r="12" spans="1:15" ht="15.75" thickBot="1" x14ac:dyDescent="0.3">
      <c r="A12" s="30">
        <v>10</v>
      </c>
      <c r="B12" s="9">
        <v>0</v>
      </c>
      <c r="C12" s="10">
        <f t="shared" si="0"/>
        <v>9.25</v>
      </c>
      <c r="D12" s="10">
        <v>15.9</v>
      </c>
      <c r="E12" s="10">
        <f t="shared" si="1"/>
        <v>31.700000000000003</v>
      </c>
      <c r="F12" s="10">
        <f t="shared" si="2"/>
        <v>146.61250000000001</v>
      </c>
      <c r="G12" s="10">
        <f t="shared" si="3"/>
        <v>0</v>
      </c>
      <c r="H12" s="10">
        <f t="shared" si="4"/>
        <v>-146.15</v>
      </c>
      <c r="I12" s="10">
        <f t="shared" si="5"/>
        <v>-675.94375000000002</v>
      </c>
      <c r="J12" s="10">
        <f t="shared" si="6"/>
        <v>4019.6790000000001</v>
      </c>
      <c r="K12" s="10">
        <f t="shared" si="7"/>
        <v>7963.991</v>
      </c>
      <c r="L12" s="10">
        <f t="shared" si="8"/>
        <v>36833.458375000002</v>
      </c>
      <c r="M12" s="10">
        <f t="shared" si="9"/>
        <v>0</v>
      </c>
      <c r="N12" s="10">
        <f t="shared" si="10"/>
        <v>1351.8875</v>
      </c>
      <c r="O12" s="18">
        <f t="shared" si="11"/>
        <v>6252.4796875000002</v>
      </c>
    </row>
    <row r="13" spans="1:15" ht="15.75" thickBot="1" x14ac:dyDescent="0.3">
      <c r="A13" s="30">
        <v>11</v>
      </c>
      <c r="B13" s="9">
        <v>9.25</v>
      </c>
      <c r="C13" s="10">
        <f t="shared" si="0"/>
        <v>9.25</v>
      </c>
      <c r="D13" s="10">
        <v>15.9</v>
      </c>
      <c r="E13" s="10">
        <f t="shared" si="1"/>
        <v>31.8</v>
      </c>
      <c r="F13" s="10">
        <f t="shared" si="2"/>
        <v>147.07500000000002</v>
      </c>
      <c r="G13" s="10">
        <f t="shared" si="3"/>
        <v>147.07500000000002</v>
      </c>
      <c r="H13" s="10">
        <f t="shared" si="4"/>
        <v>147.07500000000002</v>
      </c>
      <c r="I13" s="10">
        <f t="shared" si="5"/>
        <v>680.22187500000007</v>
      </c>
      <c r="J13" s="10">
        <f t="shared" si="6"/>
        <v>4019.6790000000001</v>
      </c>
      <c r="K13" s="10">
        <f t="shared" si="7"/>
        <v>8039.3580000000002</v>
      </c>
      <c r="L13" s="10">
        <f t="shared" si="8"/>
        <v>37182.030749999998</v>
      </c>
      <c r="M13" s="10">
        <f t="shared" si="9"/>
        <v>1360.4437500000001</v>
      </c>
      <c r="N13" s="10">
        <f t="shared" si="10"/>
        <v>1360.4437500000001</v>
      </c>
      <c r="O13" s="18">
        <f t="shared" si="11"/>
        <v>6292.0523437500005</v>
      </c>
    </row>
    <row r="14" spans="1:15" ht="15.75" thickBot="1" x14ac:dyDescent="0.3">
      <c r="A14" s="30">
        <v>12</v>
      </c>
      <c r="B14" s="9">
        <v>18.5</v>
      </c>
      <c r="C14" s="10">
        <f t="shared" si="0"/>
        <v>9.25</v>
      </c>
      <c r="D14" s="10">
        <v>15.5</v>
      </c>
      <c r="E14" s="10">
        <f t="shared" si="1"/>
        <v>31.4</v>
      </c>
      <c r="F14" s="10">
        <f t="shared" si="2"/>
        <v>145.22499999999999</v>
      </c>
      <c r="G14" s="10">
        <f t="shared" si="3"/>
        <v>286.75</v>
      </c>
      <c r="H14" s="10">
        <f t="shared" si="4"/>
        <v>433.82500000000005</v>
      </c>
      <c r="I14" s="10">
        <f t="shared" si="5"/>
        <v>2006.4406250000002</v>
      </c>
      <c r="J14" s="10">
        <f t="shared" si="6"/>
        <v>3723.875</v>
      </c>
      <c r="K14" s="10">
        <f t="shared" si="7"/>
        <v>7743.5540000000001</v>
      </c>
      <c r="L14" s="10">
        <f t="shared" si="8"/>
        <v>35813.937250000003</v>
      </c>
      <c r="M14" s="10">
        <f t="shared" si="9"/>
        <v>5304.875</v>
      </c>
      <c r="N14" s="10">
        <f t="shared" si="10"/>
        <v>6665.3187500000004</v>
      </c>
      <c r="O14" s="18">
        <f t="shared" si="11"/>
        <v>30827.099218750001</v>
      </c>
    </row>
    <row r="15" spans="1:15" ht="15.75" thickBot="1" x14ac:dyDescent="0.3">
      <c r="A15" s="30">
        <v>13</v>
      </c>
      <c r="B15" s="9">
        <v>27.75</v>
      </c>
      <c r="C15" s="10">
        <f t="shared" si="0"/>
        <v>9.25</v>
      </c>
      <c r="D15" s="10">
        <v>14.6</v>
      </c>
      <c r="E15" s="10">
        <f t="shared" si="1"/>
        <v>30.1</v>
      </c>
      <c r="F15" s="10">
        <f t="shared" si="2"/>
        <v>139.21250000000001</v>
      </c>
      <c r="G15" s="10">
        <f t="shared" si="3"/>
        <v>405.15</v>
      </c>
      <c r="H15" s="10">
        <f t="shared" si="4"/>
        <v>691.9</v>
      </c>
      <c r="I15" s="10">
        <f t="shared" si="5"/>
        <v>3200.0374999999999</v>
      </c>
      <c r="J15" s="10">
        <f t="shared" si="6"/>
        <v>3112.136</v>
      </c>
      <c r="K15" s="10">
        <f t="shared" si="7"/>
        <v>6836.0110000000004</v>
      </c>
      <c r="L15" s="10">
        <f t="shared" si="8"/>
        <v>31616.550875000001</v>
      </c>
      <c r="M15" s="10">
        <f t="shared" si="9"/>
        <v>11242.9125</v>
      </c>
      <c r="N15" s="10">
        <f t="shared" si="10"/>
        <v>16547.787499999999</v>
      </c>
      <c r="O15" s="18">
        <f t="shared" si="11"/>
        <v>76533.517187499994</v>
      </c>
    </row>
    <row r="16" spans="1:15" ht="15.75" thickBot="1" x14ac:dyDescent="0.3">
      <c r="A16" s="30">
        <v>14</v>
      </c>
      <c r="B16" s="9">
        <v>37</v>
      </c>
      <c r="C16" s="10">
        <f t="shared" si="0"/>
        <v>9.25</v>
      </c>
      <c r="D16" s="10">
        <v>13</v>
      </c>
      <c r="E16" s="10">
        <f t="shared" si="1"/>
        <v>27.6</v>
      </c>
      <c r="F16" s="10">
        <f t="shared" si="2"/>
        <v>127.65</v>
      </c>
      <c r="G16" s="10">
        <f t="shared" si="3"/>
        <v>481</v>
      </c>
      <c r="H16" s="10">
        <f t="shared" si="4"/>
        <v>886.15</v>
      </c>
      <c r="I16" s="10">
        <f t="shared" si="5"/>
        <v>4098.4437499999995</v>
      </c>
      <c r="J16" s="10">
        <f t="shared" si="6"/>
        <v>2197</v>
      </c>
      <c r="K16" s="10">
        <f t="shared" si="7"/>
        <v>5309.1360000000004</v>
      </c>
      <c r="L16" s="10">
        <f t="shared" si="8"/>
        <v>24554.754000000001</v>
      </c>
      <c r="M16" s="10">
        <f t="shared" si="9"/>
        <v>17797</v>
      </c>
      <c r="N16" s="10">
        <f t="shared" si="10"/>
        <v>29039.912499999999</v>
      </c>
      <c r="O16" s="18">
        <f t="shared" si="11"/>
        <v>134309.59531249999</v>
      </c>
    </row>
    <row r="17" spans="1:15" ht="15.75" thickBot="1" x14ac:dyDescent="0.3">
      <c r="A17" s="30">
        <v>15</v>
      </c>
      <c r="B17" s="9">
        <v>46.25</v>
      </c>
      <c r="C17" s="10">
        <f t="shared" si="0"/>
        <v>9.25</v>
      </c>
      <c r="D17" s="10">
        <v>10.199999999999999</v>
      </c>
      <c r="E17" s="10">
        <f t="shared" si="1"/>
        <v>23.2</v>
      </c>
      <c r="F17" s="10">
        <f t="shared" si="2"/>
        <v>107.3</v>
      </c>
      <c r="G17" s="10">
        <f t="shared" si="3"/>
        <v>471.74999999999994</v>
      </c>
      <c r="H17" s="10">
        <f t="shared" si="4"/>
        <v>952.75</v>
      </c>
      <c r="I17" s="10">
        <f t="shared" si="5"/>
        <v>4406.46875</v>
      </c>
      <c r="J17" s="10">
        <f t="shared" si="6"/>
        <v>1061.2079999999999</v>
      </c>
      <c r="K17" s="10">
        <f t="shared" si="7"/>
        <v>3258.2079999999996</v>
      </c>
      <c r="L17" s="10">
        <f t="shared" si="8"/>
        <v>15069.211999999998</v>
      </c>
      <c r="M17" s="10">
        <f t="shared" si="9"/>
        <v>21818.4375</v>
      </c>
      <c r="N17" s="10">
        <f t="shared" si="10"/>
        <v>39615.4375</v>
      </c>
      <c r="O17" s="18">
        <f t="shared" si="11"/>
        <v>183221.3984375</v>
      </c>
    </row>
    <row r="18" spans="1:15" ht="15.75" thickBot="1" x14ac:dyDescent="0.3">
      <c r="A18" s="30">
        <v>16</v>
      </c>
      <c r="B18" s="9">
        <v>55.5</v>
      </c>
      <c r="C18" s="10">
        <f t="shared" si="0"/>
        <v>9.25</v>
      </c>
      <c r="D18" s="10">
        <v>6.9</v>
      </c>
      <c r="E18" s="10">
        <f t="shared" si="1"/>
        <v>17.100000000000001</v>
      </c>
      <c r="F18" s="10">
        <f t="shared" si="2"/>
        <v>79.087500000000006</v>
      </c>
      <c r="G18" s="10">
        <f t="shared" si="3"/>
        <v>382.95000000000005</v>
      </c>
      <c r="H18" s="10">
        <f t="shared" si="4"/>
        <v>854.7</v>
      </c>
      <c r="I18" s="10">
        <f t="shared" si="5"/>
        <v>3952.9875000000002</v>
      </c>
      <c r="J18" s="10">
        <f t="shared" si="6"/>
        <v>328.50900000000007</v>
      </c>
      <c r="K18" s="10">
        <f t="shared" si="7"/>
        <v>1389.7169999999999</v>
      </c>
      <c r="L18" s="10">
        <f t="shared" si="8"/>
        <v>6427.4411249999994</v>
      </c>
      <c r="M18" s="10">
        <f t="shared" si="9"/>
        <v>21253.725000000002</v>
      </c>
      <c r="N18" s="10">
        <f t="shared" si="10"/>
        <v>43072.162500000006</v>
      </c>
      <c r="O18" s="18">
        <f t="shared" si="11"/>
        <v>199208.75156250002</v>
      </c>
    </row>
    <row r="19" spans="1:15" ht="15.75" thickBot="1" x14ac:dyDescent="0.3">
      <c r="A19" s="30">
        <v>17</v>
      </c>
      <c r="B19" s="9">
        <v>64.75</v>
      </c>
      <c r="C19" s="10">
        <f t="shared" si="0"/>
        <v>9.25</v>
      </c>
      <c r="D19" s="10">
        <v>4.41</v>
      </c>
      <c r="E19" s="10">
        <f t="shared" si="1"/>
        <v>11.31</v>
      </c>
      <c r="F19" s="10">
        <f t="shared" si="2"/>
        <v>52.308750000000003</v>
      </c>
      <c r="G19" s="10">
        <f t="shared" si="3"/>
        <v>285.54750000000001</v>
      </c>
      <c r="H19" s="10">
        <f t="shared" si="4"/>
        <v>668.49750000000006</v>
      </c>
      <c r="I19" s="10">
        <f t="shared" si="5"/>
        <v>3091.8009375000001</v>
      </c>
      <c r="J19" s="10">
        <f t="shared" si="6"/>
        <v>85.766120999999998</v>
      </c>
      <c r="K19" s="10">
        <f t="shared" si="7"/>
        <v>414.27512100000007</v>
      </c>
      <c r="L19" s="10">
        <f t="shared" si="8"/>
        <v>1916.0224346250004</v>
      </c>
      <c r="M19" s="10">
        <f t="shared" si="9"/>
        <v>18489.200625000001</v>
      </c>
      <c r="N19" s="10">
        <f t="shared" si="10"/>
        <v>39742.925625000003</v>
      </c>
      <c r="O19" s="18">
        <f t="shared" si="11"/>
        <v>183811.03101562502</v>
      </c>
    </row>
    <row r="20" spans="1:15" ht="15.75" thickBot="1" x14ac:dyDescent="0.3">
      <c r="A20" s="30">
        <v>18</v>
      </c>
      <c r="B20" s="9">
        <v>74</v>
      </c>
      <c r="C20" s="10">
        <f t="shared" si="0"/>
        <v>9.25</v>
      </c>
      <c r="D20" s="10">
        <v>2.81</v>
      </c>
      <c r="E20" s="10">
        <f t="shared" si="1"/>
        <v>7.2200000000000006</v>
      </c>
      <c r="F20" s="10">
        <f t="shared" si="2"/>
        <v>33.392500000000005</v>
      </c>
      <c r="G20" s="10">
        <f t="shared" si="3"/>
        <v>207.94</v>
      </c>
      <c r="H20" s="10">
        <f t="shared" si="4"/>
        <v>493.48750000000001</v>
      </c>
      <c r="I20" s="10">
        <f t="shared" si="5"/>
        <v>2282.3796875000003</v>
      </c>
      <c r="J20" s="10">
        <f t="shared" si="6"/>
        <v>22.188041000000002</v>
      </c>
      <c r="K20" s="10">
        <f t="shared" si="7"/>
        <v>107.954162</v>
      </c>
      <c r="L20" s="10">
        <f t="shared" si="8"/>
        <v>499.28799924999998</v>
      </c>
      <c r="M20" s="10">
        <f t="shared" si="9"/>
        <v>15387.56</v>
      </c>
      <c r="N20" s="10">
        <f t="shared" si="10"/>
        <v>33876.760625000003</v>
      </c>
      <c r="O20" s="18">
        <f t="shared" si="11"/>
        <v>156680.01789062502</v>
      </c>
    </row>
    <row r="21" spans="1:15" ht="15.75" thickBot="1" x14ac:dyDescent="0.3">
      <c r="A21" s="30">
        <v>19</v>
      </c>
      <c r="B21" s="9">
        <v>83.25</v>
      </c>
      <c r="C21" s="10">
        <f t="shared" si="0"/>
        <v>9.25</v>
      </c>
      <c r="D21" s="10">
        <v>2.0499999999999998</v>
      </c>
      <c r="E21" s="10">
        <f t="shared" si="1"/>
        <v>4.8599999999999994</v>
      </c>
      <c r="F21" s="10">
        <f t="shared" si="2"/>
        <v>22.477499999999999</v>
      </c>
      <c r="G21" s="10">
        <f t="shared" si="3"/>
        <v>170.66249999999999</v>
      </c>
      <c r="H21" s="10">
        <f t="shared" si="4"/>
        <v>378.60249999999996</v>
      </c>
      <c r="I21" s="10">
        <f t="shared" si="5"/>
        <v>1751.0365624999999</v>
      </c>
      <c r="J21" s="10">
        <f t="shared" si="6"/>
        <v>8.615124999999999</v>
      </c>
      <c r="K21" s="10">
        <f t="shared" si="7"/>
        <v>30.803166000000001</v>
      </c>
      <c r="L21" s="10">
        <f t="shared" si="8"/>
        <v>142.46464275</v>
      </c>
      <c r="M21" s="10">
        <f t="shared" si="9"/>
        <v>14207.653124999999</v>
      </c>
      <c r="N21" s="10">
        <f t="shared" si="10"/>
        <v>29595.213124999998</v>
      </c>
      <c r="O21" s="18">
        <f t="shared" si="11"/>
        <v>136877.86070312498</v>
      </c>
    </row>
    <row r="22" spans="1:15" ht="15.75" thickBot="1" x14ac:dyDescent="0.3">
      <c r="A22" s="30">
        <v>20</v>
      </c>
      <c r="B22" s="9">
        <v>92.5</v>
      </c>
      <c r="C22" s="10">
        <f t="shared" si="0"/>
        <v>9.25</v>
      </c>
      <c r="D22" s="10">
        <v>1.65</v>
      </c>
      <c r="E22" s="10">
        <f t="shared" si="1"/>
        <v>3.6999999999999997</v>
      </c>
      <c r="F22" s="10">
        <f t="shared" si="2"/>
        <v>17.112499999999997</v>
      </c>
      <c r="G22" s="10">
        <f t="shared" si="3"/>
        <v>152.625</v>
      </c>
      <c r="H22" s="10">
        <f t="shared" si="4"/>
        <v>323.28750000000002</v>
      </c>
      <c r="I22" s="10">
        <f t="shared" si="5"/>
        <v>1495.2046875000001</v>
      </c>
      <c r="J22" s="10">
        <f t="shared" si="6"/>
        <v>4.4921249999999997</v>
      </c>
      <c r="K22" s="10">
        <f t="shared" si="7"/>
        <v>13.107249999999999</v>
      </c>
      <c r="L22" s="10">
        <f t="shared" si="8"/>
        <v>60.621031249999994</v>
      </c>
      <c r="M22" s="10">
        <f t="shared" si="9"/>
        <v>14117.8125</v>
      </c>
      <c r="N22" s="10">
        <f t="shared" si="10"/>
        <v>28325.465624999997</v>
      </c>
      <c r="O22" s="18">
        <f t="shared" si="11"/>
        <v>131005.27851562499</v>
      </c>
    </row>
    <row r="23" spans="1:15" ht="15.75" thickBot="1" x14ac:dyDescent="0.3">
      <c r="A23" s="30" t="s">
        <v>60</v>
      </c>
      <c r="B23" s="9">
        <v>97.497245633013605</v>
      </c>
      <c r="C23" s="10">
        <f t="shared" si="0"/>
        <v>4.9972456330136055</v>
      </c>
      <c r="D23" s="10">
        <v>0</v>
      </c>
      <c r="E23" s="10">
        <f t="shared" si="1"/>
        <v>1.65</v>
      </c>
      <c r="F23" s="10">
        <f t="shared" si="2"/>
        <v>4.122727647236224</v>
      </c>
      <c r="G23" s="10">
        <f t="shared" si="3"/>
        <v>0</v>
      </c>
      <c r="H23" s="10">
        <f t="shared" si="4"/>
        <v>152.625</v>
      </c>
      <c r="I23" s="10">
        <f t="shared" si="5"/>
        <v>381.35230736935074</v>
      </c>
      <c r="J23" s="10">
        <f t="shared" si="6"/>
        <v>0</v>
      </c>
      <c r="K23" s="10">
        <f t="shared" si="7"/>
        <v>4.4921249999999997</v>
      </c>
      <c r="L23" s="10">
        <f t="shared" si="8"/>
        <v>11.22412601960062</v>
      </c>
      <c r="M23" s="10">
        <f t="shared" si="9"/>
        <v>0</v>
      </c>
      <c r="N23" s="10">
        <f t="shared" si="10"/>
        <v>14117.8125</v>
      </c>
      <c r="O23" s="18">
        <f t="shared" si="11"/>
        <v>35275.088431664946</v>
      </c>
    </row>
    <row r="24" spans="1:15" ht="15.75" thickBot="1" x14ac:dyDescent="0.3">
      <c r="A24" s="30" t="s">
        <v>61</v>
      </c>
      <c r="B24" s="14"/>
      <c r="C24" s="34"/>
      <c r="D24" s="34"/>
      <c r="E24" s="34"/>
      <c r="F24" s="34">
        <f>SUM(F3:F23)</f>
        <v>1703.6983475926661</v>
      </c>
      <c r="G24" s="34"/>
      <c r="H24" s="34"/>
      <c r="I24" s="34">
        <f>SUM(I3:I23)</f>
        <v>3103.4253844123032</v>
      </c>
      <c r="J24" s="34"/>
      <c r="K24" s="34"/>
      <c r="L24" s="34">
        <f>SUM(L3:L23)</f>
        <v>298665.26980988582</v>
      </c>
      <c r="M24" s="34"/>
      <c r="N24" s="34"/>
      <c r="O24" s="20">
        <f>SUM(O3:O23)</f>
        <v>2310707.0124240885</v>
      </c>
    </row>
    <row r="25" spans="1:15" x14ac:dyDescent="0.25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11</v>
      </c>
      <c r="B27" s="21">
        <f>2*F24</f>
        <v>3407.3966951853322</v>
      </c>
      <c r="C27" s="23" t="s">
        <v>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63</v>
      </c>
      <c r="B28" s="24">
        <f>2*I24</f>
        <v>6206.8507688246063</v>
      </c>
      <c r="C28" s="26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15</v>
      </c>
      <c r="B29" s="24">
        <f>B28/B27</f>
        <v>1.8215814958073171</v>
      </c>
      <c r="C29" s="26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16</v>
      </c>
      <c r="B30" s="24">
        <f>2/3*L24</f>
        <v>199110.17987325721</v>
      </c>
      <c r="C30" s="26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17</v>
      </c>
      <c r="B31" s="24">
        <f>2*O24</f>
        <v>4621414.0248481771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18</v>
      </c>
      <c r="B32" s="27">
        <f>B31-(B29)^2*B27</f>
        <v>4610107.7403404489</v>
      </c>
      <c r="C32" s="29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E9C5-DB02-4B91-8DFA-0255F3185388}">
  <dimension ref="A1:O33"/>
  <sheetViews>
    <sheetView workbookViewId="0">
      <selection activeCell="Q32" sqref="Q32"/>
    </sheetView>
  </sheetViews>
  <sheetFormatPr defaultRowHeight="15" x14ac:dyDescent="0.25"/>
  <cols>
    <col min="1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49">
        <v>-87.470469277102893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</row>
    <row r="3" spans="1:15" ht="15.75" thickBot="1" x14ac:dyDescent="0.3">
      <c r="A3" s="30">
        <v>1</v>
      </c>
      <c r="B3" s="9">
        <v>-83.25</v>
      </c>
      <c r="C3" s="10">
        <f t="shared" ref="C3:C23" si="0">B3-B2</f>
        <v>4.2204692771028931</v>
      </c>
      <c r="D3" s="10">
        <v>0.746</v>
      </c>
      <c r="E3" s="10">
        <f t="shared" ref="E3:E23" si="1">D2+D3</f>
        <v>0.746</v>
      </c>
      <c r="F3" s="10">
        <f t="shared" ref="F3:F23" si="2">C3*E3/2</f>
        <v>1.5742350403593792</v>
      </c>
      <c r="G3" s="10">
        <f t="shared" ref="G3:G23" si="3">B3*D3</f>
        <v>-62.104500000000002</v>
      </c>
      <c r="H3" s="10">
        <f t="shared" ref="H3:H23" si="4">G2+G3</f>
        <v>-62.104500000000002</v>
      </c>
      <c r="I3" s="10">
        <f t="shared" ref="I3:I23" si="5">C3*H3/2</f>
        <v>-131.05506710991833</v>
      </c>
      <c r="J3" s="10">
        <f t="shared" ref="J3:J23" si="6">D3^3</f>
        <v>0.41516093599999998</v>
      </c>
      <c r="K3" s="10">
        <f t="shared" ref="K3:K23" si="7">J2+J3</f>
        <v>0.41516093599999998</v>
      </c>
      <c r="L3" s="10">
        <f t="shared" ref="L3:L23" si="8">C3*K3/2</f>
        <v>0.8760869877206402</v>
      </c>
      <c r="M3" s="10">
        <f t="shared" ref="M3:M23" si="9">B3^2*D3</f>
        <v>5170.1996250000002</v>
      </c>
      <c r="N3" s="10">
        <f t="shared" ref="N3:N23" si="10">M2+M3</f>
        <v>5170.1996250000002</v>
      </c>
      <c r="O3" s="18">
        <f t="shared" ref="O3:O23" si="11">C3*N3/2</f>
        <v>10910.3343369007</v>
      </c>
    </row>
    <row r="4" spans="1:15" ht="15.75" thickBot="1" x14ac:dyDescent="0.3">
      <c r="A4" s="30">
        <v>2</v>
      </c>
      <c r="B4" s="9">
        <v>-74</v>
      </c>
      <c r="C4" s="10">
        <f t="shared" si="0"/>
        <v>9.25</v>
      </c>
      <c r="D4" s="10">
        <v>2.6</v>
      </c>
      <c r="E4" s="10">
        <f t="shared" si="1"/>
        <v>3.3460000000000001</v>
      </c>
      <c r="F4" s="10">
        <f t="shared" si="2"/>
        <v>15.475250000000001</v>
      </c>
      <c r="G4" s="10">
        <f t="shared" si="3"/>
        <v>-192.4</v>
      </c>
      <c r="H4" s="10">
        <f t="shared" si="4"/>
        <v>-254.50450000000001</v>
      </c>
      <c r="I4" s="10">
        <f t="shared" si="5"/>
        <v>-1177.0833124999999</v>
      </c>
      <c r="J4" s="10">
        <f t="shared" si="6"/>
        <v>17.576000000000004</v>
      </c>
      <c r="K4" s="10">
        <f t="shared" si="7"/>
        <v>17.991160936000004</v>
      </c>
      <c r="L4" s="10">
        <f t="shared" si="8"/>
        <v>83.209119329000018</v>
      </c>
      <c r="M4" s="10">
        <f t="shared" si="9"/>
        <v>14237.6</v>
      </c>
      <c r="N4" s="10">
        <f t="shared" si="10"/>
        <v>19407.799625</v>
      </c>
      <c r="O4" s="18">
        <f t="shared" si="11"/>
        <v>89761.073265625004</v>
      </c>
    </row>
    <row r="5" spans="1:15" ht="15.75" thickBot="1" x14ac:dyDescent="0.3">
      <c r="A5" s="30">
        <v>3</v>
      </c>
      <c r="B5" s="9">
        <v>-64.75</v>
      </c>
      <c r="C5" s="10">
        <f t="shared" si="0"/>
        <v>9.25</v>
      </c>
      <c r="D5" s="10">
        <v>4.91</v>
      </c>
      <c r="E5" s="10">
        <f t="shared" si="1"/>
        <v>7.51</v>
      </c>
      <c r="F5" s="10">
        <f t="shared" si="2"/>
        <v>34.733750000000001</v>
      </c>
      <c r="G5" s="10">
        <f t="shared" si="3"/>
        <v>-317.92250000000001</v>
      </c>
      <c r="H5" s="10">
        <f t="shared" si="4"/>
        <v>-510.32249999999999</v>
      </c>
      <c r="I5" s="10">
        <f t="shared" si="5"/>
        <v>-2360.2415624999999</v>
      </c>
      <c r="J5" s="10">
        <f t="shared" si="6"/>
        <v>118.370771</v>
      </c>
      <c r="K5" s="10">
        <f t="shared" si="7"/>
        <v>135.94677100000001</v>
      </c>
      <c r="L5" s="10">
        <f t="shared" si="8"/>
        <v>628.7538158750001</v>
      </c>
      <c r="M5" s="10">
        <f t="shared" si="9"/>
        <v>20585.481875000001</v>
      </c>
      <c r="N5" s="10">
        <f t="shared" si="10"/>
        <v>34823.081875000003</v>
      </c>
      <c r="O5" s="18">
        <f t="shared" si="11"/>
        <v>161056.75367187502</v>
      </c>
    </row>
    <row r="6" spans="1:15" ht="15.75" thickBot="1" x14ac:dyDescent="0.3">
      <c r="A6" s="30">
        <v>4</v>
      </c>
      <c r="B6" s="9">
        <v>-55.5</v>
      </c>
      <c r="C6" s="10">
        <f t="shared" si="0"/>
        <v>9.25</v>
      </c>
      <c r="D6" s="10">
        <v>8.01</v>
      </c>
      <c r="E6" s="10">
        <f t="shared" si="1"/>
        <v>12.92</v>
      </c>
      <c r="F6" s="10">
        <f t="shared" si="2"/>
        <v>59.755000000000003</v>
      </c>
      <c r="G6" s="10">
        <f t="shared" si="3"/>
        <v>-444.55500000000001</v>
      </c>
      <c r="H6" s="10">
        <f t="shared" si="4"/>
        <v>-762.47749999999996</v>
      </c>
      <c r="I6" s="10">
        <f t="shared" si="5"/>
        <v>-3526.4584374999999</v>
      </c>
      <c r="J6" s="10">
        <f t="shared" si="6"/>
        <v>513.92240100000004</v>
      </c>
      <c r="K6" s="10">
        <f t="shared" si="7"/>
        <v>632.29317200000003</v>
      </c>
      <c r="L6" s="10">
        <f t="shared" si="8"/>
        <v>2924.3559205000001</v>
      </c>
      <c r="M6" s="10">
        <f t="shared" si="9"/>
        <v>24672.802499999998</v>
      </c>
      <c r="N6" s="10">
        <f t="shared" si="10"/>
        <v>45258.284375000003</v>
      </c>
      <c r="O6" s="18">
        <f t="shared" si="11"/>
        <v>209319.56523437501</v>
      </c>
    </row>
    <row r="7" spans="1:15" ht="15.75" thickBot="1" x14ac:dyDescent="0.3">
      <c r="A7" s="30">
        <v>5</v>
      </c>
      <c r="B7" s="9">
        <v>-46.25</v>
      </c>
      <c r="C7" s="10">
        <f t="shared" si="0"/>
        <v>9.25</v>
      </c>
      <c r="D7" s="10">
        <v>11.3</v>
      </c>
      <c r="E7" s="10">
        <f t="shared" si="1"/>
        <v>19.310000000000002</v>
      </c>
      <c r="F7" s="10">
        <f t="shared" si="2"/>
        <v>89.308750000000003</v>
      </c>
      <c r="G7" s="10">
        <f t="shared" si="3"/>
        <v>-522.625</v>
      </c>
      <c r="H7" s="10">
        <f t="shared" si="4"/>
        <v>-967.18000000000006</v>
      </c>
      <c r="I7" s="10">
        <f t="shared" si="5"/>
        <v>-4473.2075000000004</v>
      </c>
      <c r="J7" s="10">
        <f t="shared" si="6"/>
        <v>1442.8970000000002</v>
      </c>
      <c r="K7" s="10">
        <f t="shared" si="7"/>
        <v>1956.8194010000002</v>
      </c>
      <c r="L7" s="10">
        <f t="shared" si="8"/>
        <v>9050.2897296250012</v>
      </c>
      <c r="M7" s="10">
        <f t="shared" si="9"/>
        <v>24171.40625</v>
      </c>
      <c r="N7" s="10">
        <f t="shared" si="10"/>
        <v>48844.208749999998</v>
      </c>
      <c r="O7" s="18">
        <f t="shared" si="11"/>
        <v>225904.46546874999</v>
      </c>
    </row>
    <row r="8" spans="1:15" ht="15.75" thickBot="1" x14ac:dyDescent="0.3">
      <c r="A8" s="30">
        <v>6</v>
      </c>
      <c r="B8" s="9">
        <v>-37</v>
      </c>
      <c r="C8" s="10">
        <f t="shared" si="0"/>
        <v>9.25</v>
      </c>
      <c r="D8" s="10">
        <v>13.7</v>
      </c>
      <c r="E8" s="10">
        <f t="shared" si="1"/>
        <v>25</v>
      </c>
      <c r="F8" s="10">
        <f t="shared" si="2"/>
        <v>115.625</v>
      </c>
      <c r="G8" s="10">
        <f t="shared" si="3"/>
        <v>-506.9</v>
      </c>
      <c r="H8" s="10">
        <f t="shared" si="4"/>
        <v>-1029.5250000000001</v>
      </c>
      <c r="I8" s="10">
        <f t="shared" si="5"/>
        <v>-4761.5531250000004</v>
      </c>
      <c r="J8" s="10">
        <f t="shared" si="6"/>
        <v>2571.3529999999996</v>
      </c>
      <c r="K8" s="10">
        <f t="shared" si="7"/>
        <v>4014.25</v>
      </c>
      <c r="L8" s="10">
        <f t="shared" si="8"/>
        <v>18565.90625</v>
      </c>
      <c r="M8" s="10">
        <f t="shared" si="9"/>
        <v>18755.3</v>
      </c>
      <c r="N8" s="10">
        <f t="shared" si="10"/>
        <v>42926.706250000003</v>
      </c>
      <c r="O8" s="18">
        <f t="shared" si="11"/>
        <v>198536.01640625001</v>
      </c>
    </row>
    <row r="9" spans="1:15" ht="15.75" thickBot="1" x14ac:dyDescent="0.3">
      <c r="A9" s="30">
        <v>7</v>
      </c>
      <c r="B9" s="9">
        <v>-27.75</v>
      </c>
      <c r="C9" s="10">
        <f t="shared" si="0"/>
        <v>9.25</v>
      </c>
      <c r="D9" s="10">
        <v>15</v>
      </c>
      <c r="E9" s="10">
        <f t="shared" si="1"/>
        <v>28.7</v>
      </c>
      <c r="F9" s="10">
        <f t="shared" si="2"/>
        <v>132.73749999999998</v>
      </c>
      <c r="G9" s="10">
        <f t="shared" si="3"/>
        <v>-416.25</v>
      </c>
      <c r="H9" s="10">
        <f t="shared" si="4"/>
        <v>-923.15</v>
      </c>
      <c r="I9" s="10">
        <f t="shared" si="5"/>
        <v>-4269.5687499999995</v>
      </c>
      <c r="J9" s="10">
        <f t="shared" si="6"/>
        <v>3375</v>
      </c>
      <c r="K9" s="10">
        <f t="shared" si="7"/>
        <v>5946.3529999999992</v>
      </c>
      <c r="L9" s="10">
        <f t="shared" si="8"/>
        <v>27501.882624999995</v>
      </c>
      <c r="M9" s="10">
        <f t="shared" si="9"/>
        <v>11550.9375</v>
      </c>
      <c r="N9" s="10">
        <f t="shared" si="10"/>
        <v>30306.237499999999</v>
      </c>
      <c r="O9" s="18">
        <f t="shared" si="11"/>
        <v>140166.34843749998</v>
      </c>
    </row>
    <row r="10" spans="1:15" ht="15.75" thickBot="1" x14ac:dyDescent="0.3">
      <c r="A10" s="30">
        <v>8</v>
      </c>
      <c r="B10" s="9">
        <v>-18.5</v>
      </c>
      <c r="C10" s="10">
        <f t="shared" si="0"/>
        <v>9.25</v>
      </c>
      <c r="D10" s="10">
        <v>15.8</v>
      </c>
      <c r="E10" s="10">
        <f t="shared" si="1"/>
        <v>30.8</v>
      </c>
      <c r="F10" s="10">
        <f t="shared" si="2"/>
        <v>142.45000000000002</v>
      </c>
      <c r="G10" s="10">
        <f t="shared" si="3"/>
        <v>-292.3</v>
      </c>
      <c r="H10" s="10">
        <f t="shared" si="4"/>
        <v>-708.55</v>
      </c>
      <c r="I10" s="10">
        <f t="shared" si="5"/>
        <v>-3277.0437499999998</v>
      </c>
      <c r="J10" s="10">
        <f t="shared" si="6"/>
        <v>3944.3120000000004</v>
      </c>
      <c r="K10" s="10">
        <f t="shared" si="7"/>
        <v>7319.3119999999999</v>
      </c>
      <c r="L10" s="10">
        <f t="shared" si="8"/>
        <v>33851.817999999999</v>
      </c>
      <c r="M10" s="10">
        <f t="shared" si="9"/>
        <v>5407.55</v>
      </c>
      <c r="N10" s="10">
        <f t="shared" si="10"/>
        <v>16958.487499999999</v>
      </c>
      <c r="O10" s="18">
        <f t="shared" si="11"/>
        <v>78433.004687499997</v>
      </c>
    </row>
    <row r="11" spans="1:15" ht="15.75" thickBot="1" x14ac:dyDescent="0.3">
      <c r="A11" s="30">
        <v>9</v>
      </c>
      <c r="B11" s="9">
        <v>-9.25</v>
      </c>
      <c r="C11" s="10">
        <f t="shared" si="0"/>
        <v>9.25</v>
      </c>
      <c r="D11" s="10">
        <v>16</v>
      </c>
      <c r="E11" s="10">
        <f t="shared" si="1"/>
        <v>31.8</v>
      </c>
      <c r="F11" s="10">
        <f t="shared" si="2"/>
        <v>147.07500000000002</v>
      </c>
      <c r="G11" s="10">
        <f t="shared" si="3"/>
        <v>-148</v>
      </c>
      <c r="H11" s="10">
        <f t="shared" si="4"/>
        <v>-440.3</v>
      </c>
      <c r="I11" s="10">
        <f t="shared" si="5"/>
        <v>-2036.3875</v>
      </c>
      <c r="J11" s="10">
        <f t="shared" si="6"/>
        <v>4096</v>
      </c>
      <c r="K11" s="10">
        <f t="shared" si="7"/>
        <v>8040.3119999999999</v>
      </c>
      <c r="L11" s="10">
        <f t="shared" si="8"/>
        <v>37186.442999999999</v>
      </c>
      <c r="M11" s="10">
        <f t="shared" si="9"/>
        <v>1369</v>
      </c>
      <c r="N11" s="10">
        <f t="shared" si="10"/>
        <v>6776.55</v>
      </c>
      <c r="O11" s="18">
        <f t="shared" si="11"/>
        <v>31341.543750000001</v>
      </c>
    </row>
    <row r="12" spans="1:15" ht="15.75" thickBot="1" x14ac:dyDescent="0.3">
      <c r="A12" s="30">
        <v>10</v>
      </c>
      <c r="B12" s="9">
        <v>0</v>
      </c>
      <c r="C12" s="10">
        <f t="shared" si="0"/>
        <v>9.25</v>
      </c>
      <c r="D12" s="10">
        <v>16</v>
      </c>
      <c r="E12" s="10">
        <f t="shared" si="1"/>
        <v>32</v>
      </c>
      <c r="F12" s="10">
        <f t="shared" si="2"/>
        <v>148</v>
      </c>
      <c r="G12" s="10">
        <f t="shared" si="3"/>
        <v>0</v>
      </c>
      <c r="H12" s="10">
        <f t="shared" si="4"/>
        <v>-148</v>
      </c>
      <c r="I12" s="10">
        <f t="shared" si="5"/>
        <v>-684.5</v>
      </c>
      <c r="J12" s="10">
        <f t="shared" si="6"/>
        <v>4096</v>
      </c>
      <c r="K12" s="10">
        <f t="shared" si="7"/>
        <v>8192</v>
      </c>
      <c r="L12" s="10">
        <f t="shared" si="8"/>
        <v>37888</v>
      </c>
      <c r="M12" s="10">
        <f t="shared" si="9"/>
        <v>0</v>
      </c>
      <c r="N12" s="10">
        <f t="shared" si="10"/>
        <v>1369</v>
      </c>
      <c r="O12" s="18">
        <f t="shared" si="11"/>
        <v>6331.625</v>
      </c>
    </row>
    <row r="13" spans="1:15" ht="15.75" thickBot="1" x14ac:dyDescent="0.3">
      <c r="A13" s="30">
        <v>11</v>
      </c>
      <c r="B13" s="9">
        <v>9.25</v>
      </c>
      <c r="C13" s="10">
        <f t="shared" si="0"/>
        <v>9.25</v>
      </c>
      <c r="D13" s="10">
        <v>16</v>
      </c>
      <c r="E13" s="10">
        <f t="shared" si="1"/>
        <v>32</v>
      </c>
      <c r="F13" s="10">
        <f t="shared" si="2"/>
        <v>148</v>
      </c>
      <c r="G13" s="10">
        <f t="shared" si="3"/>
        <v>148</v>
      </c>
      <c r="H13" s="10">
        <f t="shared" si="4"/>
        <v>148</v>
      </c>
      <c r="I13" s="10">
        <f t="shared" si="5"/>
        <v>684.5</v>
      </c>
      <c r="J13" s="10">
        <f t="shared" si="6"/>
        <v>4096</v>
      </c>
      <c r="K13" s="10">
        <f t="shared" si="7"/>
        <v>8192</v>
      </c>
      <c r="L13" s="10">
        <f t="shared" si="8"/>
        <v>37888</v>
      </c>
      <c r="M13" s="10">
        <f t="shared" si="9"/>
        <v>1369</v>
      </c>
      <c r="N13" s="10">
        <f t="shared" si="10"/>
        <v>1369</v>
      </c>
      <c r="O13" s="18">
        <f t="shared" si="11"/>
        <v>6331.625</v>
      </c>
    </row>
    <row r="14" spans="1:15" ht="15.75" thickBot="1" x14ac:dyDescent="0.3">
      <c r="A14" s="30">
        <v>12</v>
      </c>
      <c r="B14" s="9">
        <v>18.5</v>
      </c>
      <c r="C14" s="10">
        <f t="shared" si="0"/>
        <v>9.25</v>
      </c>
      <c r="D14" s="10">
        <v>15.8</v>
      </c>
      <c r="E14" s="10">
        <f t="shared" si="1"/>
        <v>31.8</v>
      </c>
      <c r="F14" s="10">
        <f t="shared" si="2"/>
        <v>147.07500000000002</v>
      </c>
      <c r="G14" s="10">
        <f t="shared" si="3"/>
        <v>292.3</v>
      </c>
      <c r="H14" s="10">
        <f t="shared" si="4"/>
        <v>440.3</v>
      </c>
      <c r="I14" s="10">
        <f t="shared" si="5"/>
        <v>2036.3875</v>
      </c>
      <c r="J14" s="10">
        <f t="shared" si="6"/>
        <v>3944.3120000000004</v>
      </c>
      <c r="K14" s="10">
        <f t="shared" si="7"/>
        <v>8040.3119999999999</v>
      </c>
      <c r="L14" s="10">
        <f t="shared" si="8"/>
        <v>37186.442999999999</v>
      </c>
      <c r="M14" s="10">
        <f t="shared" si="9"/>
        <v>5407.55</v>
      </c>
      <c r="N14" s="10">
        <f t="shared" si="10"/>
        <v>6776.55</v>
      </c>
      <c r="O14" s="18">
        <f t="shared" si="11"/>
        <v>31341.543750000001</v>
      </c>
    </row>
    <row r="15" spans="1:15" ht="15.75" thickBot="1" x14ac:dyDescent="0.3">
      <c r="A15" s="30">
        <v>13</v>
      </c>
      <c r="B15" s="9">
        <v>27.75</v>
      </c>
      <c r="C15" s="10">
        <f t="shared" si="0"/>
        <v>9.25</v>
      </c>
      <c r="D15" s="10">
        <v>15.1</v>
      </c>
      <c r="E15" s="10">
        <f t="shared" si="1"/>
        <v>30.9</v>
      </c>
      <c r="F15" s="10">
        <f t="shared" si="2"/>
        <v>142.91249999999999</v>
      </c>
      <c r="G15" s="10">
        <f t="shared" si="3"/>
        <v>419.02499999999998</v>
      </c>
      <c r="H15" s="10">
        <f t="shared" si="4"/>
        <v>711.32500000000005</v>
      </c>
      <c r="I15" s="10">
        <f t="shared" si="5"/>
        <v>3289.8781250000002</v>
      </c>
      <c r="J15" s="10">
        <f t="shared" si="6"/>
        <v>3442.9509999999996</v>
      </c>
      <c r="K15" s="10">
        <f t="shared" si="7"/>
        <v>7387.2629999999999</v>
      </c>
      <c r="L15" s="10">
        <f t="shared" si="8"/>
        <v>34166.091374999996</v>
      </c>
      <c r="M15" s="10">
        <f t="shared" si="9"/>
        <v>11627.94375</v>
      </c>
      <c r="N15" s="10">
        <f t="shared" si="10"/>
        <v>17035.493750000001</v>
      </c>
      <c r="O15" s="18">
        <f t="shared" si="11"/>
        <v>78789.158593750006</v>
      </c>
    </row>
    <row r="16" spans="1:15" ht="15.75" thickBot="1" x14ac:dyDescent="0.3">
      <c r="A16" s="30">
        <v>14</v>
      </c>
      <c r="B16" s="9">
        <v>37</v>
      </c>
      <c r="C16" s="10">
        <f t="shared" si="0"/>
        <v>9.25</v>
      </c>
      <c r="D16" s="10">
        <v>13.8</v>
      </c>
      <c r="E16" s="10">
        <f t="shared" si="1"/>
        <v>28.9</v>
      </c>
      <c r="F16" s="10">
        <f t="shared" si="2"/>
        <v>133.66249999999999</v>
      </c>
      <c r="G16" s="10">
        <f t="shared" si="3"/>
        <v>510.6</v>
      </c>
      <c r="H16" s="10">
        <f t="shared" si="4"/>
        <v>929.625</v>
      </c>
      <c r="I16" s="10">
        <f t="shared" si="5"/>
        <v>4299.515625</v>
      </c>
      <c r="J16" s="10">
        <f t="shared" si="6"/>
        <v>2628.0720000000006</v>
      </c>
      <c r="K16" s="10">
        <f t="shared" si="7"/>
        <v>6071.0230000000001</v>
      </c>
      <c r="L16" s="10">
        <f t="shared" si="8"/>
        <v>28078.481374999999</v>
      </c>
      <c r="M16" s="10">
        <f t="shared" si="9"/>
        <v>18892.2</v>
      </c>
      <c r="N16" s="10">
        <f t="shared" si="10"/>
        <v>30520.143750000003</v>
      </c>
      <c r="O16" s="18">
        <f t="shared" si="11"/>
        <v>141155.66484375001</v>
      </c>
    </row>
    <row r="17" spans="1:15" ht="15.75" thickBot="1" x14ac:dyDescent="0.3">
      <c r="A17" s="30">
        <v>15</v>
      </c>
      <c r="B17" s="9">
        <v>46.25</v>
      </c>
      <c r="C17" s="10">
        <f t="shared" si="0"/>
        <v>9.25</v>
      </c>
      <c r="D17" s="10">
        <v>11.3</v>
      </c>
      <c r="E17" s="10">
        <f t="shared" si="1"/>
        <v>25.1</v>
      </c>
      <c r="F17" s="10">
        <f t="shared" si="2"/>
        <v>116.08750000000001</v>
      </c>
      <c r="G17" s="10">
        <f t="shared" si="3"/>
        <v>522.625</v>
      </c>
      <c r="H17" s="10">
        <f t="shared" si="4"/>
        <v>1033.2249999999999</v>
      </c>
      <c r="I17" s="10">
        <f t="shared" si="5"/>
        <v>4778.6656249999996</v>
      </c>
      <c r="J17" s="10">
        <f t="shared" si="6"/>
        <v>1442.8970000000002</v>
      </c>
      <c r="K17" s="10">
        <f t="shared" si="7"/>
        <v>4070.969000000001</v>
      </c>
      <c r="L17" s="10">
        <f t="shared" si="8"/>
        <v>18828.231625000004</v>
      </c>
      <c r="M17" s="10">
        <f t="shared" si="9"/>
        <v>24171.40625</v>
      </c>
      <c r="N17" s="10">
        <f t="shared" si="10"/>
        <v>43063.606249999997</v>
      </c>
      <c r="O17" s="18">
        <f t="shared" si="11"/>
        <v>199169.17890624999</v>
      </c>
    </row>
    <row r="18" spans="1:15" ht="15.75" thickBot="1" x14ac:dyDescent="0.3">
      <c r="A18" s="30">
        <v>16</v>
      </c>
      <c r="B18" s="9">
        <v>55.5</v>
      </c>
      <c r="C18" s="10">
        <f t="shared" si="0"/>
        <v>9.25</v>
      </c>
      <c r="D18" s="10">
        <v>7.82</v>
      </c>
      <c r="E18" s="10">
        <f t="shared" si="1"/>
        <v>19.12</v>
      </c>
      <c r="F18" s="10">
        <f t="shared" si="2"/>
        <v>88.43</v>
      </c>
      <c r="G18" s="10">
        <f t="shared" si="3"/>
        <v>434.01</v>
      </c>
      <c r="H18" s="10">
        <f t="shared" si="4"/>
        <v>956.63499999999999</v>
      </c>
      <c r="I18" s="10">
        <f t="shared" si="5"/>
        <v>4424.4368750000003</v>
      </c>
      <c r="J18" s="10">
        <f t="shared" si="6"/>
        <v>478.21176800000006</v>
      </c>
      <c r="K18" s="10">
        <f t="shared" si="7"/>
        <v>1921.1087680000003</v>
      </c>
      <c r="L18" s="10">
        <f t="shared" si="8"/>
        <v>8885.1280520000018</v>
      </c>
      <c r="M18" s="10">
        <f t="shared" si="9"/>
        <v>24087.555</v>
      </c>
      <c r="N18" s="10">
        <f t="shared" si="10"/>
        <v>48258.96125</v>
      </c>
      <c r="O18" s="18">
        <f t="shared" si="11"/>
        <v>223197.69578124999</v>
      </c>
    </row>
    <row r="19" spans="1:15" ht="15.75" thickBot="1" x14ac:dyDescent="0.3">
      <c r="A19" s="30">
        <v>17</v>
      </c>
      <c r="B19" s="9">
        <v>64.75</v>
      </c>
      <c r="C19" s="10">
        <f t="shared" si="0"/>
        <v>9.25</v>
      </c>
      <c r="D19" s="10">
        <v>4.95</v>
      </c>
      <c r="E19" s="10">
        <f t="shared" si="1"/>
        <v>12.77</v>
      </c>
      <c r="F19" s="10">
        <f t="shared" si="2"/>
        <v>59.061250000000001</v>
      </c>
      <c r="G19" s="10">
        <f t="shared" si="3"/>
        <v>320.51249999999999</v>
      </c>
      <c r="H19" s="10">
        <f t="shared" si="4"/>
        <v>754.52250000000004</v>
      </c>
      <c r="I19" s="10">
        <f t="shared" si="5"/>
        <v>3489.6665625000001</v>
      </c>
      <c r="J19" s="10">
        <f t="shared" si="6"/>
        <v>121.28737500000001</v>
      </c>
      <c r="K19" s="10">
        <f t="shared" si="7"/>
        <v>599.49914300000012</v>
      </c>
      <c r="L19" s="10">
        <f t="shared" si="8"/>
        <v>2772.6835363750006</v>
      </c>
      <c r="M19" s="10">
        <f t="shared" si="9"/>
        <v>20753.184375000001</v>
      </c>
      <c r="N19" s="10">
        <f t="shared" si="10"/>
        <v>44840.739375000005</v>
      </c>
      <c r="O19" s="18">
        <f t="shared" si="11"/>
        <v>207388.41960937501</v>
      </c>
    </row>
    <row r="20" spans="1:15" ht="15.75" thickBot="1" x14ac:dyDescent="0.3">
      <c r="A20" s="30">
        <v>18</v>
      </c>
      <c r="B20" s="9">
        <v>74</v>
      </c>
      <c r="C20" s="10">
        <f t="shared" si="0"/>
        <v>9.25</v>
      </c>
      <c r="D20" s="10">
        <v>3.04</v>
      </c>
      <c r="E20" s="10">
        <f t="shared" si="1"/>
        <v>7.99</v>
      </c>
      <c r="F20" s="10">
        <f t="shared" si="2"/>
        <v>36.953749999999999</v>
      </c>
      <c r="G20" s="10">
        <f t="shared" si="3"/>
        <v>224.96</v>
      </c>
      <c r="H20" s="10">
        <f t="shared" si="4"/>
        <v>545.47249999999997</v>
      </c>
      <c r="I20" s="10">
        <f t="shared" si="5"/>
        <v>2522.8103124999998</v>
      </c>
      <c r="J20" s="10">
        <f t="shared" si="6"/>
        <v>28.094464000000002</v>
      </c>
      <c r="K20" s="10">
        <f t="shared" si="7"/>
        <v>149.38183900000001</v>
      </c>
      <c r="L20" s="10">
        <f t="shared" si="8"/>
        <v>690.89100537500008</v>
      </c>
      <c r="M20" s="10">
        <f t="shared" si="9"/>
        <v>16647.04</v>
      </c>
      <c r="N20" s="10">
        <f t="shared" si="10"/>
        <v>37400.224375000005</v>
      </c>
      <c r="O20" s="18">
        <f t="shared" si="11"/>
        <v>172976.03773437502</v>
      </c>
    </row>
    <row r="21" spans="1:15" ht="15.75" thickBot="1" x14ac:dyDescent="0.3">
      <c r="A21" s="30">
        <v>19</v>
      </c>
      <c r="B21" s="9">
        <v>83.25</v>
      </c>
      <c r="C21" s="10">
        <f t="shared" si="0"/>
        <v>9.25</v>
      </c>
      <c r="D21" s="10">
        <v>2.17</v>
      </c>
      <c r="E21" s="10">
        <f t="shared" si="1"/>
        <v>5.21</v>
      </c>
      <c r="F21" s="10">
        <f t="shared" si="2"/>
        <v>24.096250000000001</v>
      </c>
      <c r="G21" s="10">
        <f t="shared" si="3"/>
        <v>180.6525</v>
      </c>
      <c r="H21" s="10">
        <f t="shared" si="4"/>
        <v>405.61250000000001</v>
      </c>
      <c r="I21" s="10">
        <f t="shared" si="5"/>
        <v>1875.9578125</v>
      </c>
      <c r="J21" s="10">
        <f t="shared" si="6"/>
        <v>10.218313</v>
      </c>
      <c r="K21" s="10">
        <f t="shared" si="7"/>
        <v>38.312777000000004</v>
      </c>
      <c r="L21" s="10">
        <f t="shared" si="8"/>
        <v>177.19659362500002</v>
      </c>
      <c r="M21" s="10">
        <f t="shared" si="9"/>
        <v>15039.320625</v>
      </c>
      <c r="N21" s="10">
        <f t="shared" si="10"/>
        <v>31686.360625000001</v>
      </c>
      <c r="O21" s="18">
        <f t="shared" si="11"/>
        <v>146549.41789062502</v>
      </c>
    </row>
    <row r="22" spans="1:15" ht="15.75" thickBot="1" x14ac:dyDescent="0.3">
      <c r="A22" s="30">
        <v>20</v>
      </c>
      <c r="B22" s="9">
        <v>92.5</v>
      </c>
      <c r="C22" s="10">
        <f t="shared" si="0"/>
        <v>9.25</v>
      </c>
      <c r="D22" s="10">
        <v>1.94</v>
      </c>
      <c r="E22" s="10">
        <f t="shared" si="1"/>
        <v>4.1099999999999994</v>
      </c>
      <c r="F22" s="10">
        <f t="shared" si="2"/>
        <v>19.008749999999999</v>
      </c>
      <c r="G22" s="10">
        <f t="shared" si="3"/>
        <v>179.45</v>
      </c>
      <c r="H22" s="10">
        <f t="shared" si="4"/>
        <v>360.10249999999996</v>
      </c>
      <c r="I22" s="10">
        <f t="shared" si="5"/>
        <v>1665.4740624999999</v>
      </c>
      <c r="J22" s="10">
        <f t="shared" si="6"/>
        <v>7.3013839999999997</v>
      </c>
      <c r="K22" s="10">
        <f t="shared" si="7"/>
        <v>17.519697000000001</v>
      </c>
      <c r="L22" s="10">
        <f t="shared" si="8"/>
        <v>81.028598625000001</v>
      </c>
      <c r="M22" s="10">
        <f t="shared" si="9"/>
        <v>16599.125</v>
      </c>
      <c r="N22" s="10">
        <f t="shared" si="10"/>
        <v>31638.445625</v>
      </c>
      <c r="O22" s="18">
        <f t="shared" si="11"/>
        <v>146327.81101562499</v>
      </c>
    </row>
    <row r="23" spans="1:15" ht="15.75" thickBot="1" x14ac:dyDescent="0.3">
      <c r="A23" s="30" t="s">
        <v>60</v>
      </c>
      <c r="B23" s="9">
        <v>98.670997338441097</v>
      </c>
      <c r="C23" s="10">
        <f t="shared" si="0"/>
        <v>6.1709973384410972</v>
      </c>
      <c r="D23" s="10">
        <v>0</v>
      </c>
      <c r="E23" s="10">
        <f t="shared" si="1"/>
        <v>1.94</v>
      </c>
      <c r="F23" s="10">
        <f t="shared" si="2"/>
        <v>5.9858674182878637</v>
      </c>
      <c r="G23" s="10">
        <f t="shared" si="3"/>
        <v>0</v>
      </c>
      <c r="H23" s="10">
        <f t="shared" si="4"/>
        <v>179.45</v>
      </c>
      <c r="I23" s="10">
        <f t="shared" si="5"/>
        <v>553.69273619162743</v>
      </c>
      <c r="J23" s="10">
        <f t="shared" si="6"/>
        <v>0</v>
      </c>
      <c r="K23" s="10">
        <f t="shared" si="7"/>
        <v>7.3013839999999997</v>
      </c>
      <c r="L23" s="10">
        <f t="shared" si="8"/>
        <v>22.528410615468204</v>
      </c>
      <c r="M23" s="10">
        <f t="shared" si="9"/>
        <v>0</v>
      </c>
      <c r="N23" s="10">
        <f t="shared" si="10"/>
        <v>16599.125</v>
      </c>
      <c r="O23" s="18">
        <f t="shared" si="11"/>
        <v>51216.578097725542</v>
      </c>
    </row>
    <row r="24" spans="1:15" ht="15.75" thickBot="1" x14ac:dyDescent="0.3">
      <c r="A24" s="30" t="s">
        <v>61</v>
      </c>
      <c r="B24" s="14"/>
      <c r="C24" s="34"/>
      <c r="D24" s="34"/>
      <c r="E24" s="34"/>
      <c r="F24" s="34">
        <f>SUM(F3:F23)</f>
        <v>1808.0078524586472</v>
      </c>
      <c r="G24" s="34"/>
      <c r="H24" s="34"/>
      <c r="I24" s="34">
        <f>SUM(I3:I23)</f>
        <v>2923.8862315817091</v>
      </c>
      <c r="J24" s="34"/>
      <c r="K24" s="34"/>
      <c r="L24" s="34">
        <f>SUM(L3:L23)</f>
        <v>336458.23811893217</v>
      </c>
      <c r="M24" s="34"/>
      <c r="N24" s="34"/>
      <c r="O24" s="20">
        <f>C24*N24/2+SUM(O3:O23)</f>
        <v>2556203.8614815017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11</v>
      </c>
      <c r="B27" s="21">
        <f>2*F24</f>
        <v>3616.0157049172944</v>
      </c>
      <c r="C27" s="23" t="s">
        <v>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63</v>
      </c>
      <c r="B28" s="24">
        <f>2*I24</f>
        <v>5847.7724631634183</v>
      </c>
      <c r="C28" s="26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15</v>
      </c>
      <c r="B29" s="24">
        <f>B28/B27</f>
        <v>1.6171866884347972</v>
      </c>
      <c r="C29" s="26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16</v>
      </c>
      <c r="B30" s="24">
        <f>2/3*L24</f>
        <v>224305.49207928812</v>
      </c>
      <c r="C30" s="26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17</v>
      </c>
      <c r="B31" s="24">
        <f>2*O24</f>
        <v>5112407.7229630034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18</v>
      </c>
      <c r="B32" s="27">
        <f>B31-(B29)^2*B27</f>
        <v>5102950.78317858</v>
      </c>
      <c r="C32" s="29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D08B-5FD2-4B82-9706-75F4B6FE4970}">
  <dimension ref="A1:P32"/>
  <sheetViews>
    <sheetView workbookViewId="0">
      <selection activeCell="P32" sqref="P32"/>
    </sheetView>
  </sheetViews>
  <sheetFormatPr defaultRowHeight="15" x14ac:dyDescent="0.25"/>
  <cols>
    <col min="1" max="16384" width="9.140625" style="35"/>
  </cols>
  <sheetData>
    <row r="1" spans="1:16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  <c r="P1"/>
    </row>
    <row r="2" spans="1:16" ht="15.75" thickBot="1" x14ac:dyDescent="0.3">
      <c r="A2" s="30" t="s">
        <v>59</v>
      </c>
      <c r="B2" s="49">
        <v>-85.774368728885094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</row>
    <row r="3" spans="1:16" ht="15.75" thickBot="1" x14ac:dyDescent="0.3">
      <c r="A3" s="30">
        <v>1</v>
      </c>
      <c r="B3" s="9">
        <v>-83.25</v>
      </c>
      <c r="C3" s="10">
        <f t="shared" ref="C3:C23" si="0">B3-B2</f>
        <v>2.5243687288850936</v>
      </c>
      <c r="D3" s="10">
        <v>0.622</v>
      </c>
      <c r="E3" s="10">
        <f t="shared" ref="E3:E23" si="1">D2+D3</f>
        <v>0.622</v>
      </c>
      <c r="F3" s="10">
        <f t="shared" ref="F3:F23" si="2">C3*E3/2</f>
        <v>0.78507867468326409</v>
      </c>
      <c r="G3" s="10">
        <f t="shared" ref="G3:G23" si="3">B3*D3</f>
        <v>-51.781500000000001</v>
      </c>
      <c r="H3" s="10">
        <f t="shared" ref="H3:H23" si="4">G2+G3</f>
        <v>-51.781500000000001</v>
      </c>
      <c r="I3" s="10">
        <f t="shared" ref="I3:I23" si="5">C3*H3/2</f>
        <v>-65.357799667381741</v>
      </c>
      <c r="J3" s="10">
        <f t="shared" ref="J3:J23" si="6">D3^3</f>
        <v>0.24064184799999999</v>
      </c>
      <c r="K3" s="10">
        <f t="shared" ref="K3:K23" si="7">J2+J3</f>
        <v>0.24064184799999999</v>
      </c>
      <c r="L3" s="10">
        <f t="shared" ref="L3:L23" si="8">C3*K4/2</f>
        <v>34.724639224436764</v>
      </c>
      <c r="M3" s="10">
        <f t="shared" ref="M3:M23" si="9">B3^2*D3</f>
        <v>4310.8098749999999</v>
      </c>
      <c r="N3" s="10">
        <f t="shared" ref="N3:N23" si="10">M2+M3</f>
        <v>4310.8098749999999</v>
      </c>
      <c r="O3" s="18">
        <f t="shared" ref="O3:O23" si="11">C3*N3/2</f>
        <v>5441.0368223095293</v>
      </c>
    </row>
    <row r="4" spans="1:16" ht="15.75" thickBot="1" x14ac:dyDescent="0.3">
      <c r="A4" s="30">
        <v>2</v>
      </c>
      <c r="B4" s="9">
        <v>-74</v>
      </c>
      <c r="C4" s="10">
        <f t="shared" si="0"/>
        <v>9.25</v>
      </c>
      <c r="D4" s="10">
        <v>3.01</v>
      </c>
      <c r="E4" s="10">
        <f t="shared" si="1"/>
        <v>3.6319999999999997</v>
      </c>
      <c r="F4" s="10">
        <f t="shared" si="2"/>
        <v>16.797999999999998</v>
      </c>
      <c r="G4" s="10">
        <f t="shared" si="3"/>
        <v>-222.73999999999998</v>
      </c>
      <c r="H4" s="10">
        <f t="shared" si="4"/>
        <v>-274.5215</v>
      </c>
      <c r="I4" s="10">
        <f t="shared" si="5"/>
        <v>-1269.6619375</v>
      </c>
      <c r="J4" s="10">
        <f t="shared" si="6"/>
        <v>27.270900999999995</v>
      </c>
      <c r="K4" s="10">
        <f t="shared" si="7"/>
        <v>27.511542847999994</v>
      </c>
      <c r="L4" s="10">
        <f t="shared" si="8"/>
        <v>1105.2808211249999</v>
      </c>
      <c r="M4" s="10">
        <f t="shared" si="9"/>
        <v>16482.759999999998</v>
      </c>
      <c r="N4" s="10">
        <f t="shared" si="10"/>
        <v>20793.569874999997</v>
      </c>
      <c r="O4" s="18">
        <f t="shared" si="11"/>
        <v>96170.260671874988</v>
      </c>
    </row>
    <row r="5" spans="1:16" ht="15.75" thickBot="1" x14ac:dyDescent="0.3">
      <c r="A5" s="30">
        <v>3</v>
      </c>
      <c r="B5" s="9">
        <v>-64.75</v>
      </c>
      <c r="C5" s="10">
        <f t="shared" si="0"/>
        <v>9.25</v>
      </c>
      <c r="D5" s="10">
        <v>5.96</v>
      </c>
      <c r="E5" s="10">
        <f t="shared" si="1"/>
        <v>8.9699999999999989</v>
      </c>
      <c r="F5" s="10">
        <f t="shared" si="2"/>
        <v>41.486249999999998</v>
      </c>
      <c r="G5" s="10">
        <f t="shared" si="3"/>
        <v>-385.91</v>
      </c>
      <c r="H5" s="10">
        <f t="shared" si="4"/>
        <v>-608.65</v>
      </c>
      <c r="I5" s="10">
        <f t="shared" si="5"/>
        <v>-2815.0062499999999</v>
      </c>
      <c r="J5" s="10">
        <f t="shared" si="6"/>
        <v>211.70873599999999</v>
      </c>
      <c r="K5" s="10">
        <f t="shared" si="7"/>
        <v>238.97963699999997</v>
      </c>
      <c r="L5" s="10">
        <f t="shared" si="8"/>
        <v>5200.2655289999993</v>
      </c>
      <c r="M5" s="10">
        <f t="shared" si="9"/>
        <v>24987.672500000001</v>
      </c>
      <c r="N5" s="10">
        <f t="shared" si="10"/>
        <v>41470.432499999995</v>
      </c>
      <c r="O5" s="18">
        <f t="shared" si="11"/>
        <v>191800.75031249999</v>
      </c>
    </row>
    <row r="6" spans="1:16" ht="15.75" thickBot="1" x14ac:dyDescent="0.3">
      <c r="A6" s="30">
        <v>4</v>
      </c>
      <c r="B6" s="9">
        <v>-55.5</v>
      </c>
      <c r="C6" s="10">
        <f t="shared" si="0"/>
        <v>9.25</v>
      </c>
      <c r="D6" s="10">
        <v>9.6999999999999993</v>
      </c>
      <c r="E6" s="10">
        <f t="shared" si="1"/>
        <v>15.66</v>
      </c>
      <c r="F6" s="10">
        <f t="shared" si="2"/>
        <v>72.427499999999995</v>
      </c>
      <c r="G6" s="10">
        <f t="shared" si="3"/>
        <v>-538.34999999999991</v>
      </c>
      <c r="H6" s="10">
        <f t="shared" si="4"/>
        <v>-924.26</v>
      </c>
      <c r="I6" s="10">
        <f t="shared" si="5"/>
        <v>-4274.7025000000003</v>
      </c>
      <c r="J6" s="10">
        <f t="shared" si="6"/>
        <v>912.67299999999977</v>
      </c>
      <c r="K6" s="10">
        <f t="shared" si="7"/>
        <v>1124.3817359999998</v>
      </c>
      <c r="L6" s="10">
        <f t="shared" si="8"/>
        <v>13920.440625000001</v>
      </c>
      <c r="M6" s="10">
        <f t="shared" si="9"/>
        <v>29878.424999999999</v>
      </c>
      <c r="N6" s="10">
        <f t="shared" si="10"/>
        <v>54866.097500000003</v>
      </c>
      <c r="O6" s="18">
        <f t="shared" si="11"/>
        <v>253755.70093750002</v>
      </c>
    </row>
    <row r="7" spans="1:16" ht="15.75" thickBot="1" x14ac:dyDescent="0.3">
      <c r="A7" s="30">
        <v>5</v>
      </c>
      <c r="B7" s="9">
        <v>-46.25</v>
      </c>
      <c r="C7" s="10">
        <f t="shared" si="0"/>
        <v>9.25</v>
      </c>
      <c r="D7" s="10">
        <v>12.8</v>
      </c>
      <c r="E7" s="10">
        <f t="shared" si="1"/>
        <v>22.5</v>
      </c>
      <c r="F7" s="10">
        <f t="shared" si="2"/>
        <v>104.0625</v>
      </c>
      <c r="G7" s="10">
        <f t="shared" si="3"/>
        <v>-592</v>
      </c>
      <c r="H7" s="10">
        <f t="shared" si="4"/>
        <v>-1130.3499999999999</v>
      </c>
      <c r="I7" s="10">
        <f t="shared" si="5"/>
        <v>-5227.8687499999996</v>
      </c>
      <c r="J7" s="10">
        <f t="shared" si="6"/>
        <v>2097.1520000000005</v>
      </c>
      <c r="K7" s="10">
        <f t="shared" si="7"/>
        <v>3009.8250000000003</v>
      </c>
      <c r="L7" s="10">
        <f t="shared" si="8"/>
        <v>24390.746875000001</v>
      </c>
      <c r="M7" s="10">
        <f t="shared" si="9"/>
        <v>27380</v>
      </c>
      <c r="N7" s="10">
        <f t="shared" si="10"/>
        <v>57258.425000000003</v>
      </c>
      <c r="O7" s="18">
        <f t="shared" si="11"/>
        <v>264820.21562500001</v>
      </c>
    </row>
    <row r="8" spans="1:16" ht="15.75" thickBot="1" x14ac:dyDescent="0.3">
      <c r="A8" s="30">
        <v>6</v>
      </c>
      <c r="B8" s="9">
        <v>-37</v>
      </c>
      <c r="C8" s="10">
        <f t="shared" si="0"/>
        <v>9.25</v>
      </c>
      <c r="D8" s="10">
        <v>14.7</v>
      </c>
      <c r="E8" s="10">
        <f t="shared" si="1"/>
        <v>27.5</v>
      </c>
      <c r="F8" s="10">
        <f t="shared" si="2"/>
        <v>127.1875</v>
      </c>
      <c r="G8" s="10">
        <f t="shared" si="3"/>
        <v>-543.9</v>
      </c>
      <c r="H8" s="10">
        <f t="shared" si="4"/>
        <v>-1135.9000000000001</v>
      </c>
      <c r="I8" s="10">
        <f t="shared" si="5"/>
        <v>-5253.5375000000004</v>
      </c>
      <c r="J8" s="10">
        <f t="shared" si="6"/>
        <v>3176.5229999999997</v>
      </c>
      <c r="K8" s="10">
        <f t="shared" si="7"/>
        <v>5273.6750000000002</v>
      </c>
      <c r="L8" s="10">
        <f t="shared" si="8"/>
        <v>32249.842874999998</v>
      </c>
      <c r="M8" s="10">
        <f t="shared" si="9"/>
        <v>20124.3</v>
      </c>
      <c r="N8" s="10">
        <f t="shared" si="10"/>
        <v>47504.3</v>
      </c>
      <c r="O8" s="18">
        <f t="shared" si="11"/>
        <v>219707.38750000001</v>
      </c>
    </row>
    <row r="9" spans="1:16" ht="15.75" thickBot="1" x14ac:dyDescent="0.3">
      <c r="A9" s="30">
        <v>7</v>
      </c>
      <c r="B9" s="9">
        <v>-27.75</v>
      </c>
      <c r="C9" s="10">
        <f t="shared" si="0"/>
        <v>9.25</v>
      </c>
      <c r="D9" s="10">
        <v>15.6</v>
      </c>
      <c r="E9" s="10">
        <f t="shared" si="1"/>
        <v>30.299999999999997</v>
      </c>
      <c r="F9" s="10">
        <f t="shared" si="2"/>
        <v>140.13749999999999</v>
      </c>
      <c r="G9" s="10">
        <f t="shared" si="3"/>
        <v>-432.9</v>
      </c>
      <c r="H9" s="10">
        <f t="shared" si="4"/>
        <v>-976.8</v>
      </c>
      <c r="I9" s="10">
        <f t="shared" si="5"/>
        <v>-4517.7</v>
      </c>
      <c r="J9" s="10">
        <f t="shared" si="6"/>
        <v>3796.4159999999997</v>
      </c>
      <c r="K9" s="10">
        <f t="shared" si="7"/>
        <v>6972.9389999999994</v>
      </c>
      <c r="L9" s="10">
        <f t="shared" si="8"/>
        <v>36502.423999999999</v>
      </c>
      <c r="M9" s="10">
        <f t="shared" si="9"/>
        <v>12012.975</v>
      </c>
      <c r="N9" s="10">
        <f t="shared" si="10"/>
        <v>32137.275000000001</v>
      </c>
      <c r="O9" s="18">
        <f t="shared" si="11"/>
        <v>148634.89687500001</v>
      </c>
    </row>
    <row r="10" spans="1:16" ht="15.75" thickBot="1" x14ac:dyDescent="0.3">
      <c r="A10" s="30">
        <v>8</v>
      </c>
      <c r="B10" s="9">
        <v>-18.5</v>
      </c>
      <c r="C10" s="10">
        <f t="shared" si="0"/>
        <v>9.25</v>
      </c>
      <c r="D10" s="10">
        <v>16</v>
      </c>
      <c r="E10" s="10">
        <f t="shared" si="1"/>
        <v>31.6</v>
      </c>
      <c r="F10" s="10">
        <f t="shared" si="2"/>
        <v>146.15</v>
      </c>
      <c r="G10" s="10">
        <f t="shared" si="3"/>
        <v>-296</v>
      </c>
      <c r="H10" s="10">
        <f t="shared" si="4"/>
        <v>-728.9</v>
      </c>
      <c r="I10" s="10">
        <f t="shared" si="5"/>
        <v>-3371.1624999999999</v>
      </c>
      <c r="J10" s="10">
        <f t="shared" si="6"/>
        <v>4096</v>
      </c>
      <c r="K10" s="10">
        <f t="shared" si="7"/>
        <v>7892.4159999999993</v>
      </c>
      <c r="L10" s="10">
        <f t="shared" si="8"/>
        <v>37888</v>
      </c>
      <c r="M10" s="10">
        <f t="shared" si="9"/>
        <v>5476</v>
      </c>
      <c r="N10" s="10">
        <f t="shared" si="10"/>
        <v>17488.974999999999</v>
      </c>
      <c r="O10" s="18">
        <f t="shared" si="11"/>
        <v>80886.509374999994</v>
      </c>
    </row>
    <row r="11" spans="1:16" ht="15.75" thickBot="1" x14ac:dyDescent="0.3">
      <c r="A11" s="30">
        <v>9</v>
      </c>
      <c r="B11" s="9">
        <v>-9.25</v>
      </c>
      <c r="C11" s="10">
        <f t="shared" si="0"/>
        <v>9.25</v>
      </c>
      <c r="D11" s="10">
        <v>16</v>
      </c>
      <c r="E11" s="10">
        <f t="shared" si="1"/>
        <v>32</v>
      </c>
      <c r="F11" s="10">
        <f t="shared" si="2"/>
        <v>148</v>
      </c>
      <c r="G11" s="10">
        <f t="shared" si="3"/>
        <v>-148</v>
      </c>
      <c r="H11" s="10">
        <f t="shared" si="4"/>
        <v>-444</v>
      </c>
      <c r="I11" s="10">
        <f t="shared" si="5"/>
        <v>-2053.5</v>
      </c>
      <c r="J11" s="10">
        <f t="shared" si="6"/>
        <v>4096</v>
      </c>
      <c r="K11" s="10">
        <f t="shared" si="7"/>
        <v>8192</v>
      </c>
      <c r="L11" s="10">
        <f t="shared" si="8"/>
        <v>37888</v>
      </c>
      <c r="M11" s="10">
        <f t="shared" si="9"/>
        <v>1369</v>
      </c>
      <c r="N11" s="10">
        <f t="shared" si="10"/>
        <v>6845</v>
      </c>
      <c r="O11" s="18">
        <f t="shared" si="11"/>
        <v>31658.125</v>
      </c>
    </row>
    <row r="12" spans="1:16" ht="15.75" thickBot="1" x14ac:dyDescent="0.3">
      <c r="A12" s="30">
        <v>10</v>
      </c>
      <c r="B12" s="9">
        <v>0</v>
      </c>
      <c r="C12" s="10">
        <f t="shared" si="0"/>
        <v>9.25</v>
      </c>
      <c r="D12" s="10">
        <v>16</v>
      </c>
      <c r="E12" s="10">
        <f t="shared" si="1"/>
        <v>32</v>
      </c>
      <c r="F12" s="10">
        <f t="shared" si="2"/>
        <v>148</v>
      </c>
      <c r="G12" s="10">
        <f t="shared" si="3"/>
        <v>0</v>
      </c>
      <c r="H12" s="10">
        <f t="shared" si="4"/>
        <v>-148</v>
      </c>
      <c r="I12" s="10">
        <f t="shared" si="5"/>
        <v>-684.5</v>
      </c>
      <c r="J12" s="10">
        <f t="shared" si="6"/>
        <v>4096</v>
      </c>
      <c r="K12" s="10">
        <f t="shared" si="7"/>
        <v>8192</v>
      </c>
      <c r="L12" s="10">
        <f t="shared" si="8"/>
        <v>37888</v>
      </c>
      <c r="M12" s="10">
        <f t="shared" si="9"/>
        <v>0</v>
      </c>
      <c r="N12" s="10">
        <f t="shared" si="10"/>
        <v>1369</v>
      </c>
      <c r="O12" s="18">
        <f t="shared" si="11"/>
        <v>6331.625</v>
      </c>
    </row>
    <row r="13" spans="1:16" ht="15.75" thickBot="1" x14ac:dyDescent="0.3">
      <c r="A13" s="30">
        <v>11</v>
      </c>
      <c r="B13" s="9">
        <v>9.25</v>
      </c>
      <c r="C13" s="10">
        <f t="shared" si="0"/>
        <v>9.25</v>
      </c>
      <c r="D13" s="10">
        <v>16</v>
      </c>
      <c r="E13" s="10">
        <f t="shared" si="1"/>
        <v>32</v>
      </c>
      <c r="F13" s="10">
        <f t="shared" si="2"/>
        <v>148</v>
      </c>
      <c r="G13" s="10">
        <f t="shared" si="3"/>
        <v>148</v>
      </c>
      <c r="H13" s="10">
        <f t="shared" si="4"/>
        <v>148</v>
      </c>
      <c r="I13" s="10">
        <f t="shared" si="5"/>
        <v>684.5</v>
      </c>
      <c r="J13" s="10">
        <f t="shared" si="6"/>
        <v>4096</v>
      </c>
      <c r="K13" s="10">
        <f t="shared" si="7"/>
        <v>8192</v>
      </c>
      <c r="L13" s="10">
        <f t="shared" si="8"/>
        <v>37535.015375000003</v>
      </c>
      <c r="M13" s="10">
        <f t="shared" si="9"/>
        <v>1369</v>
      </c>
      <c r="N13" s="10">
        <f t="shared" si="10"/>
        <v>1369</v>
      </c>
      <c r="O13" s="18">
        <f t="shared" si="11"/>
        <v>6331.625</v>
      </c>
    </row>
    <row r="14" spans="1:16" ht="15.75" thickBot="1" x14ac:dyDescent="0.3">
      <c r="A14" s="30">
        <v>12</v>
      </c>
      <c r="B14" s="9">
        <v>18.5</v>
      </c>
      <c r="C14" s="10">
        <f t="shared" si="0"/>
        <v>9.25</v>
      </c>
      <c r="D14" s="10">
        <v>15.9</v>
      </c>
      <c r="E14" s="10">
        <f t="shared" si="1"/>
        <v>31.9</v>
      </c>
      <c r="F14" s="10">
        <f t="shared" si="2"/>
        <v>147.53749999999999</v>
      </c>
      <c r="G14" s="10">
        <f t="shared" si="3"/>
        <v>294.15000000000003</v>
      </c>
      <c r="H14" s="10">
        <f t="shared" si="4"/>
        <v>442.15000000000003</v>
      </c>
      <c r="I14" s="10">
        <f t="shared" si="5"/>
        <v>2044.9437500000001</v>
      </c>
      <c r="J14" s="10">
        <f t="shared" si="6"/>
        <v>4019.6790000000001</v>
      </c>
      <c r="K14" s="10">
        <f t="shared" si="7"/>
        <v>8115.6790000000001</v>
      </c>
      <c r="L14" s="10">
        <f t="shared" si="8"/>
        <v>35813.937250000003</v>
      </c>
      <c r="M14" s="10">
        <f t="shared" si="9"/>
        <v>5441.7750000000005</v>
      </c>
      <c r="N14" s="10">
        <f t="shared" si="10"/>
        <v>6810.7750000000005</v>
      </c>
      <c r="O14" s="18">
        <f t="shared" si="11"/>
        <v>31499.834375000002</v>
      </c>
    </row>
    <row r="15" spans="1:16" ht="15.75" thickBot="1" x14ac:dyDescent="0.3">
      <c r="A15" s="30">
        <v>13</v>
      </c>
      <c r="B15" s="9">
        <v>27.75</v>
      </c>
      <c r="C15" s="10">
        <f t="shared" si="0"/>
        <v>9.25</v>
      </c>
      <c r="D15" s="10">
        <v>15.5</v>
      </c>
      <c r="E15" s="10">
        <f t="shared" si="1"/>
        <v>31.4</v>
      </c>
      <c r="F15" s="10">
        <f t="shared" si="2"/>
        <v>145.22499999999999</v>
      </c>
      <c r="G15" s="10">
        <f t="shared" si="3"/>
        <v>430.125</v>
      </c>
      <c r="H15" s="10">
        <f t="shared" si="4"/>
        <v>724.27500000000009</v>
      </c>
      <c r="I15" s="10">
        <f t="shared" si="5"/>
        <v>3349.7718750000004</v>
      </c>
      <c r="J15" s="10">
        <f t="shared" si="6"/>
        <v>3723.875</v>
      </c>
      <c r="K15" s="10">
        <f t="shared" si="7"/>
        <v>7743.5540000000001</v>
      </c>
      <c r="L15" s="10">
        <f t="shared" si="8"/>
        <v>31033.097875000003</v>
      </c>
      <c r="M15" s="10">
        <f t="shared" si="9"/>
        <v>11935.96875</v>
      </c>
      <c r="N15" s="10">
        <f t="shared" si="10"/>
        <v>17377.743750000001</v>
      </c>
      <c r="O15" s="18">
        <f t="shared" si="11"/>
        <v>80372.064843750006</v>
      </c>
    </row>
    <row r="16" spans="1:16" ht="15.75" thickBot="1" x14ac:dyDescent="0.3">
      <c r="A16" s="30">
        <v>14</v>
      </c>
      <c r="B16" s="9">
        <v>37</v>
      </c>
      <c r="C16" s="10">
        <f t="shared" si="0"/>
        <v>9.25</v>
      </c>
      <c r="D16" s="10">
        <v>14.4</v>
      </c>
      <c r="E16" s="10">
        <f t="shared" si="1"/>
        <v>29.9</v>
      </c>
      <c r="F16" s="10">
        <f t="shared" si="2"/>
        <v>138.28749999999999</v>
      </c>
      <c r="G16" s="10">
        <f t="shared" si="3"/>
        <v>532.80000000000007</v>
      </c>
      <c r="H16" s="10">
        <f t="shared" si="4"/>
        <v>962.92500000000007</v>
      </c>
      <c r="I16" s="10">
        <f t="shared" si="5"/>
        <v>4453.5281250000007</v>
      </c>
      <c r="J16" s="10">
        <f t="shared" si="6"/>
        <v>2985.9840000000004</v>
      </c>
      <c r="K16" s="10">
        <f t="shared" si="7"/>
        <v>6709.8590000000004</v>
      </c>
      <c r="L16" s="10">
        <f t="shared" si="8"/>
        <v>22208.473000000002</v>
      </c>
      <c r="M16" s="10">
        <f t="shared" si="9"/>
        <v>19713.600000000002</v>
      </c>
      <c r="N16" s="10">
        <f t="shared" si="10"/>
        <v>31649.568750000002</v>
      </c>
      <c r="O16" s="18">
        <f t="shared" si="11"/>
        <v>146379.25546875002</v>
      </c>
    </row>
    <row r="17" spans="1:15" ht="15.75" thickBot="1" x14ac:dyDescent="0.3">
      <c r="A17" s="30">
        <v>15</v>
      </c>
      <c r="B17" s="9">
        <v>46.25</v>
      </c>
      <c r="C17" s="10">
        <f t="shared" si="0"/>
        <v>9.25</v>
      </c>
      <c r="D17" s="10">
        <v>12.2</v>
      </c>
      <c r="E17" s="10">
        <f t="shared" si="1"/>
        <v>26.6</v>
      </c>
      <c r="F17" s="10">
        <f t="shared" si="2"/>
        <v>123.02500000000001</v>
      </c>
      <c r="G17" s="10">
        <f t="shared" si="3"/>
        <v>564.25</v>
      </c>
      <c r="H17" s="10">
        <f t="shared" si="4"/>
        <v>1097.0500000000002</v>
      </c>
      <c r="I17" s="10">
        <f t="shared" si="5"/>
        <v>5073.8562500000007</v>
      </c>
      <c r="J17" s="10">
        <f t="shared" si="6"/>
        <v>1815.8479999999995</v>
      </c>
      <c r="K17" s="10">
        <f t="shared" si="7"/>
        <v>4801.8320000000003</v>
      </c>
      <c r="L17" s="10">
        <f t="shared" si="8"/>
        <v>11486.074760999998</v>
      </c>
      <c r="M17" s="10">
        <f t="shared" si="9"/>
        <v>26096.5625</v>
      </c>
      <c r="N17" s="10">
        <f t="shared" si="10"/>
        <v>45810.162500000006</v>
      </c>
      <c r="O17" s="18">
        <f t="shared" si="11"/>
        <v>211872.00156250002</v>
      </c>
    </row>
    <row r="18" spans="1:15" ht="15.75" thickBot="1" x14ac:dyDescent="0.3">
      <c r="A18" s="30">
        <v>16</v>
      </c>
      <c r="B18" s="9">
        <v>55.5</v>
      </c>
      <c r="C18" s="10">
        <f t="shared" si="0"/>
        <v>9.25</v>
      </c>
      <c r="D18" s="10">
        <v>8.74</v>
      </c>
      <c r="E18" s="10">
        <f t="shared" si="1"/>
        <v>20.939999999999998</v>
      </c>
      <c r="F18" s="10">
        <f t="shared" si="2"/>
        <v>96.847499999999997</v>
      </c>
      <c r="G18" s="10">
        <f t="shared" si="3"/>
        <v>485.07</v>
      </c>
      <c r="H18" s="10">
        <f t="shared" si="4"/>
        <v>1049.32</v>
      </c>
      <c r="I18" s="10">
        <f t="shared" si="5"/>
        <v>4853.1049999999996</v>
      </c>
      <c r="J18" s="10">
        <f t="shared" si="6"/>
        <v>667.62762400000008</v>
      </c>
      <c r="K18" s="10">
        <f t="shared" si="7"/>
        <v>2483.4756239999997</v>
      </c>
      <c r="L18" s="10">
        <f t="shared" si="8"/>
        <v>3848.8982490000003</v>
      </c>
      <c r="M18" s="10">
        <f t="shared" si="9"/>
        <v>26921.385000000002</v>
      </c>
      <c r="N18" s="10">
        <f t="shared" si="10"/>
        <v>53017.947500000002</v>
      </c>
      <c r="O18" s="18">
        <f t="shared" si="11"/>
        <v>245208.00718750001</v>
      </c>
    </row>
    <row r="19" spans="1:15" ht="15.75" thickBot="1" x14ac:dyDescent="0.3">
      <c r="A19" s="30">
        <v>17</v>
      </c>
      <c r="B19" s="9">
        <v>64.75</v>
      </c>
      <c r="C19" s="10">
        <f t="shared" si="0"/>
        <v>9.25</v>
      </c>
      <c r="D19" s="10">
        <v>5.48</v>
      </c>
      <c r="E19" s="10">
        <f t="shared" si="1"/>
        <v>14.22</v>
      </c>
      <c r="F19" s="10">
        <f t="shared" si="2"/>
        <v>65.767499999999998</v>
      </c>
      <c r="G19" s="10">
        <f t="shared" si="3"/>
        <v>354.83000000000004</v>
      </c>
      <c r="H19" s="10">
        <f t="shared" si="4"/>
        <v>839.90000000000009</v>
      </c>
      <c r="I19" s="10">
        <f t="shared" si="5"/>
        <v>3884.5375000000004</v>
      </c>
      <c r="J19" s="10">
        <f t="shared" si="6"/>
        <v>164.56659200000004</v>
      </c>
      <c r="K19" s="10">
        <f t="shared" si="7"/>
        <v>832.1942160000001</v>
      </c>
      <c r="L19" s="10">
        <f t="shared" si="8"/>
        <v>918.42702400000019</v>
      </c>
      <c r="M19" s="10">
        <f t="shared" si="9"/>
        <v>22975.2425</v>
      </c>
      <c r="N19" s="10">
        <f t="shared" si="10"/>
        <v>49896.627500000002</v>
      </c>
      <c r="O19" s="18">
        <f t="shared" si="11"/>
        <v>230771.9021875</v>
      </c>
    </row>
    <row r="20" spans="1:15" ht="15.75" thickBot="1" x14ac:dyDescent="0.3">
      <c r="A20" s="30">
        <v>18</v>
      </c>
      <c r="B20" s="9">
        <v>74</v>
      </c>
      <c r="C20" s="10">
        <f t="shared" si="0"/>
        <v>9.25</v>
      </c>
      <c r="D20" s="10">
        <v>3.24</v>
      </c>
      <c r="E20" s="10">
        <f t="shared" si="1"/>
        <v>8.7200000000000006</v>
      </c>
      <c r="F20" s="10">
        <f t="shared" si="2"/>
        <v>40.330000000000005</v>
      </c>
      <c r="G20" s="10">
        <f t="shared" si="3"/>
        <v>239.76000000000002</v>
      </c>
      <c r="H20" s="10">
        <f t="shared" si="4"/>
        <v>594.59</v>
      </c>
      <c r="I20" s="10">
        <f t="shared" si="5"/>
        <v>2749.9787500000002</v>
      </c>
      <c r="J20" s="10">
        <f t="shared" si="6"/>
        <v>34.01222400000001</v>
      </c>
      <c r="K20" s="10">
        <f t="shared" si="7"/>
        <v>198.57881600000005</v>
      </c>
      <c r="L20" s="10">
        <f t="shared" si="8"/>
        <v>203.91588000000007</v>
      </c>
      <c r="M20" s="10">
        <f t="shared" si="9"/>
        <v>17742.240000000002</v>
      </c>
      <c r="N20" s="10">
        <f t="shared" si="10"/>
        <v>40717.482499999998</v>
      </c>
      <c r="O20" s="18">
        <f t="shared" si="11"/>
        <v>188318.3565625</v>
      </c>
    </row>
    <row r="21" spans="1:15" ht="15.75" thickBot="1" x14ac:dyDescent="0.3">
      <c r="A21" s="30">
        <v>19</v>
      </c>
      <c r="B21" s="9">
        <v>83.25</v>
      </c>
      <c r="C21" s="10">
        <f t="shared" si="0"/>
        <v>9.25</v>
      </c>
      <c r="D21" s="10">
        <v>2.16</v>
      </c>
      <c r="E21" s="10">
        <f t="shared" si="1"/>
        <v>5.4</v>
      </c>
      <c r="F21" s="10">
        <f t="shared" si="2"/>
        <v>24.975000000000001</v>
      </c>
      <c r="G21" s="10">
        <f t="shared" si="3"/>
        <v>179.82000000000002</v>
      </c>
      <c r="H21" s="10">
        <f t="shared" si="4"/>
        <v>419.58000000000004</v>
      </c>
      <c r="I21" s="10">
        <f t="shared" si="5"/>
        <v>1940.5575000000001</v>
      </c>
      <c r="J21" s="10">
        <f t="shared" si="6"/>
        <v>10.077696000000001</v>
      </c>
      <c r="K21" s="10">
        <f t="shared" si="7"/>
        <v>44.089920000000014</v>
      </c>
      <c r="L21" s="10">
        <f t="shared" si="8"/>
        <v>84.730480999999997</v>
      </c>
      <c r="M21" s="10">
        <f t="shared" si="9"/>
        <v>14970.015000000001</v>
      </c>
      <c r="N21" s="10">
        <f t="shared" si="10"/>
        <v>32712.255000000005</v>
      </c>
      <c r="O21" s="18">
        <f t="shared" si="11"/>
        <v>151294.17937500001</v>
      </c>
    </row>
    <row r="22" spans="1:15" ht="15.75" thickBot="1" x14ac:dyDescent="0.3">
      <c r="A22" s="30">
        <v>20</v>
      </c>
      <c r="B22" s="9">
        <v>92.5</v>
      </c>
      <c r="C22" s="10">
        <f t="shared" si="0"/>
        <v>9.25</v>
      </c>
      <c r="D22" s="10">
        <v>2.02</v>
      </c>
      <c r="E22" s="10">
        <f t="shared" si="1"/>
        <v>4.18</v>
      </c>
      <c r="F22" s="10">
        <f t="shared" si="2"/>
        <v>19.3325</v>
      </c>
      <c r="G22" s="10">
        <f t="shared" si="3"/>
        <v>186.85</v>
      </c>
      <c r="H22" s="10">
        <f t="shared" si="4"/>
        <v>366.67</v>
      </c>
      <c r="I22" s="10">
        <f t="shared" si="5"/>
        <v>1695.8487500000001</v>
      </c>
      <c r="J22" s="10">
        <f t="shared" si="6"/>
        <v>8.2424079999999993</v>
      </c>
      <c r="K22" s="10">
        <f t="shared" si="7"/>
        <v>18.320104000000001</v>
      </c>
      <c r="L22" s="10">
        <f t="shared" si="8"/>
        <v>38.121136999999997</v>
      </c>
      <c r="M22" s="10">
        <f t="shared" si="9"/>
        <v>17283.625</v>
      </c>
      <c r="N22" s="10">
        <f t="shared" si="10"/>
        <v>32253.64</v>
      </c>
      <c r="O22" s="18">
        <f t="shared" si="11"/>
        <v>149173.08499999999</v>
      </c>
    </row>
    <row r="23" spans="1:15" ht="15.75" thickBot="1" x14ac:dyDescent="0.3">
      <c r="A23" s="30" t="s">
        <v>60</v>
      </c>
      <c r="B23" s="9">
        <v>99.422938934500195</v>
      </c>
      <c r="C23" s="10">
        <f t="shared" si="0"/>
        <v>6.9229389345001948</v>
      </c>
      <c r="D23" s="10">
        <v>0</v>
      </c>
      <c r="E23" s="10">
        <f t="shared" si="1"/>
        <v>2.02</v>
      </c>
      <c r="F23" s="10">
        <f t="shared" si="2"/>
        <v>6.9921683238451973</v>
      </c>
      <c r="G23" s="10">
        <f t="shared" si="3"/>
        <v>0</v>
      </c>
      <c r="H23" s="10">
        <f t="shared" si="4"/>
        <v>186.85</v>
      </c>
      <c r="I23" s="10">
        <f t="shared" si="5"/>
        <v>646.77556995568068</v>
      </c>
      <c r="J23" s="10">
        <f t="shared" si="6"/>
        <v>0</v>
      </c>
      <c r="K23" s="10">
        <f t="shared" si="7"/>
        <v>8.2424079999999993</v>
      </c>
      <c r="L23" s="10">
        <f t="shared" si="8"/>
        <v>0</v>
      </c>
      <c r="M23" s="10">
        <f t="shared" si="9"/>
        <v>0</v>
      </c>
      <c r="N23" s="10">
        <f t="shared" si="10"/>
        <v>17283.625</v>
      </c>
      <c r="O23" s="18">
        <f t="shared" si="11"/>
        <v>59826.740220900465</v>
      </c>
    </row>
    <row r="24" spans="1:15" ht="15.75" thickBot="1" x14ac:dyDescent="0.3">
      <c r="A24" s="30" t="s">
        <v>61</v>
      </c>
      <c r="B24" s="14"/>
      <c r="C24" s="34"/>
      <c r="D24" s="34"/>
      <c r="E24" s="34"/>
      <c r="F24" s="34">
        <f>SUM(F3:F23)</f>
        <v>1901.3539969985281</v>
      </c>
      <c r="G24" s="34"/>
      <c r="H24" s="34"/>
      <c r="I24" s="34">
        <f>SUM(I3:I23)</f>
        <v>1844.4058327883004</v>
      </c>
      <c r="J24" s="34"/>
      <c r="K24" s="34"/>
      <c r="L24" s="34">
        <f>SUM(L3:L23)</f>
        <v>370238.41639634938</v>
      </c>
      <c r="M24" s="34"/>
      <c r="N24" s="34"/>
      <c r="O24" s="20">
        <f>C24*N24/2+SUM(O3:O23)</f>
        <v>2800253.5599025851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11</v>
      </c>
      <c r="B27" s="21">
        <f>2*F24</f>
        <v>3802.7079939970563</v>
      </c>
      <c r="C27" s="23" t="s">
        <v>62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63</v>
      </c>
      <c r="B28" s="24">
        <f>2*I24</f>
        <v>3688.8116655766007</v>
      </c>
      <c r="C28" s="26" t="s">
        <v>64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15</v>
      </c>
      <c r="B29" s="24">
        <f>B28/B27</f>
        <v>0.97004862624207489</v>
      </c>
      <c r="C29" s="26" t="s">
        <v>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16</v>
      </c>
      <c r="B30" s="24">
        <f>2/3*L24</f>
        <v>246825.61093089957</v>
      </c>
      <c r="C30" s="26" t="s">
        <v>65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17</v>
      </c>
      <c r="B31" s="24">
        <f>2*O24</f>
        <v>5600507.1198051702</v>
      </c>
      <c r="C31" s="26" t="s">
        <v>65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18</v>
      </c>
      <c r="B32" s="27">
        <f>B31-(B29)^2*B27</f>
        <v>5596928.7931165118</v>
      </c>
      <c r="C32" s="29" t="s">
        <v>65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B3A2-FB6D-4F6D-ABE3-C4EE6434ABA0}">
  <dimension ref="A1:O32"/>
  <sheetViews>
    <sheetView workbookViewId="0">
      <selection activeCell="Q34" sqref="Q34"/>
    </sheetView>
  </sheetViews>
  <sheetFormatPr defaultRowHeight="15" x14ac:dyDescent="0.25"/>
  <cols>
    <col min="1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49">
        <v>-85.657845922471594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</row>
    <row r="3" spans="1:15" ht="15.75" thickBot="1" x14ac:dyDescent="0.3">
      <c r="A3" s="30">
        <v>1</v>
      </c>
      <c r="B3" s="9">
        <v>-83.25</v>
      </c>
      <c r="C3" s="10">
        <f>B3-B2</f>
        <v>2.4078459224715942</v>
      </c>
      <c r="D3" s="10">
        <v>0.78</v>
      </c>
      <c r="E3" s="10">
        <f>D2+D3</f>
        <v>0.78</v>
      </c>
      <c r="F3" s="10">
        <f>C3*E3/2</f>
        <v>0.93905990976392173</v>
      </c>
      <c r="G3" s="10">
        <f>B3*D3</f>
        <v>-64.935000000000002</v>
      </c>
      <c r="H3" s="10">
        <f>G2+G3</f>
        <v>-64.935000000000002</v>
      </c>
      <c r="I3" s="10">
        <f>C3*H3/2</f>
        <v>-78.176737487846495</v>
      </c>
      <c r="J3" s="10">
        <f>D3^3</f>
        <v>0.47455200000000003</v>
      </c>
      <c r="K3" s="10">
        <f>J2+J3</f>
        <v>0.47455200000000003</v>
      </c>
      <c r="L3" s="10">
        <f>C3*K3/2</f>
        <v>0.57132404910037005</v>
      </c>
      <c r="M3" s="10">
        <f>B3^2*D3</f>
        <v>5405.8387499999999</v>
      </c>
      <c r="N3" s="10">
        <f>M2+M3</f>
        <v>5405.8387499999999</v>
      </c>
      <c r="O3" s="18">
        <f>C3*N3/2</f>
        <v>6508.2133958632194</v>
      </c>
    </row>
    <row r="4" spans="1:15" ht="15.75" thickBot="1" x14ac:dyDescent="0.3">
      <c r="A4" s="30">
        <v>2</v>
      </c>
      <c r="B4" s="9">
        <v>-74</v>
      </c>
      <c r="C4" s="10">
        <f t="shared" ref="C4:C23" si="0">B4-B3</f>
        <v>9.25</v>
      </c>
      <c r="D4" s="10">
        <v>3.91</v>
      </c>
      <c r="E4" s="10">
        <f t="shared" ref="E4:E23" si="1">D3+D4</f>
        <v>4.6900000000000004</v>
      </c>
      <c r="F4" s="10">
        <f t="shared" ref="F4:F23" si="2">C4*E4/2</f>
        <v>21.69125</v>
      </c>
      <c r="G4" s="10">
        <f t="shared" ref="G4:G23" si="3">B4*D4</f>
        <v>-289.34000000000003</v>
      </c>
      <c r="H4" s="10">
        <f t="shared" ref="H4:H23" si="4">G3+G4</f>
        <v>-354.27500000000003</v>
      </c>
      <c r="I4" s="10">
        <f t="shared" ref="I4:I23" si="5">C4*H4/2</f>
        <v>-1638.5218750000001</v>
      </c>
      <c r="J4" s="10">
        <f t="shared" ref="J4:J23" si="6">D4^3</f>
        <v>59.776471000000008</v>
      </c>
      <c r="K4" s="10">
        <f t="shared" ref="K4:K23" si="7">J3+J4</f>
        <v>60.251023000000011</v>
      </c>
      <c r="L4" s="10">
        <f t="shared" ref="L4:L23" si="8">C4*K4/2</f>
        <v>278.66098137500006</v>
      </c>
      <c r="M4" s="10">
        <f t="shared" ref="M4:M23" si="9">B4^2*D4</f>
        <v>21411.16</v>
      </c>
      <c r="N4" s="10">
        <f t="shared" ref="N4:N23" si="10">M3+M4</f>
        <v>26816.998749999999</v>
      </c>
      <c r="O4" s="18">
        <f t="shared" ref="O4:O23" si="11">C4*N4/2</f>
        <v>124028.61921875</v>
      </c>
    </row>
    <row r="5" spans="1:15" ht="15.75" thickBot="1" x14ac:dyDescent="0.3">
      <c r="A5" s="30">
        <v>3</v>
      </c>
      <c r="B5" s="9">
        <v>-64.75</v>
      </c>
      <c r="C5" s="10">
        <f t="shared" si="0"/>
        <v>9.25</v>
      </c>
      <c r="D5" s="10">
        <v>7.73</v>
      </c>
      <c r="E5" s="10">
        <f t="shared" si="1"/>
        <v>11.64</v>
      </c>
      <c r="F5" s="10">
        <f t="shared" si="2"/>
        <v>53.835000000000001</v>
      </c>
      <c r="G5" s="10">
        <f t="shared" si="3"/>
        <v>-500.51750000000004</v>
      </c>
      <c r="H5" s="10">
        <f t="shared" si="4"/>
        <v>-789.85750000000007</v>
      </c>
      <c r="I5" s="10">
        <f t="shared" si="5"/>
        <v>-3653.0909375000001</v>
      </c>
      <c r="J5" s="10">
        <f t="shared" si="6"/>
        <v>461.88991700000008</v>
      </c>
      <c r="K5" s="10">
        <f t="shared" si="7"/>
        <v>521.6663880000001</v>
      </c>
      <c r="L5" s="10">
        <f t="shared" si="8"/>
        <v>2412.7070445000004</v>
      </c>
      <c r="M5" s="10">
        <f t="shared" si="9"/>
        <v>32408.508125</v>
      </c>
      <c r="N5" s="10">
        <f t="shared" si="10"/>
        <v>53819.668124999997</v>
      </c>
      <c r="O5" s="18">
        <f t="shared" si="11"/>
        <v>248915.96507812498</v>
      </c>
    </row>
    <row r="6" spans="1:15" ht="15.75" thickBot="1" x14ac:dyDescent="0.3">
      <c r="A6" s="30">
        <v>4</v>
      </c>
      <c r="B6" s="9">
        <v>-55.5</v>
      </c>
      <c r="C6" s="10">
        <f t="shared" si="0"/>
        <v>9.25</v>
      </c>
      <c r="D6" s="10">
        <v>11.6</v>
      </c>
      <c r="E6" s="10">
        <f t="shared" si="1"/>
        <v>19.329999999999998</v>
      </c>
      <c r="F6" s="10">
        <f t="shared" si="2"/>
        <v>89.40124999999999</v>
      </c>
      <c r="G6" s="10">
        <f t="shared" si="3"/>
        <v>-643.79999999999995</v>
      </c>
      <c r="H6" s="10">
        <f t="shared" si="4"/>
        <v>-1144.3175000000001</v>
      </c>
      <c r="I6" s="10">
        <f t="shared" si="5"/>
        <v>-5292.4684375000006</v>
      </c>
      <c r="J6" s="10">
        <f t="shared" si="6"/>
        <v>1560.896</v>
      </c>
      <c r="K6" s="10">
        <f t="shared" si="7"/>
        <v>2022.7859170000002</v>
      </c>
      <c r="L6" s="10">
        <f t="shared" si="8"/>
        <v>9355.3848661250013</v>
      </c>
      <c r="M6" s="10">
        <f t="shared" si="9"/>
        <v>35730.9</v>
      </c>
      <c r="N6" s="10">
        <f t="shared" si="10"/>
        <v>68139.408125000002</v>
      </c>
      <c r="O6" s="18">
        <f t="shared" si="11"/>
        <v>315144.762578125</v>
      </c>
    </row>
    <row r="7" spans="1:15" ht="15.75" thickBot="1" x14ac:dyDescent="0.3">
      <c r="A7" s="30">
        <v>5</v>
      </c>
      <c r="B7" s="9">
        <v>-46.25</v>
      </c>
      <c r="C7" s="10">
        <f t="shared" si="0"/>
        <v>9.25</v>
      </c>
      <c r="D7" s="10">
        <v>14.1</v>
      </c>
      <c r="E7" s="10">
        <f t="shared" si="1"/>
        <v>25.7</v>
      </c>
      <c r="F7" s="10">
        <f t="shared" si="2"/>
        <v>118.8625</v>
      </c>
      <c r="G7" s="10">
        <f t="shared" si="3"/>
        <v>-652.125</v>
      </c>
      <c r="H7" s="10">
        <f t="shared" si="4"/>
        <v>-1295.925</v>
      </c>
      <c r="I7" s="10">
        <f t="shared" si="5"/>
        <v>-5993.6531249999998</v>
      </c>
      <c r="J7" s="10">
        <f t="shared" si="6"/>
        <v>2803.221</v>
      </c>
      <c r="K7" s="10">
        <f t="shared" si="7"/>
        <v>4364.1170000000002</v>
      </c>
      <c r="L7" s="10">
        <f t="shared" si="8"/>
        <v>20184.041125</v>
      </c>
      <c r="M7" s="10">
        <f t="shared" si="9"/>
        <v>30160.78125</v>
      </c>
      <c r="N7" s="10">
        <f t="shared" si="10"/>
        <v>65891.681249999994</v>
      </c>
      <c r="O7" s="18">
        <f t="shared" si="11"/>
        <v>304749.02578124998</v>
      </c>
    </row>
    <row r="8" spans="1:15" ht="15.75" thickBot="1" x14ac:dyDescent="0.3">
      <c r="A8" s="30">
        <v>6</v>
      </c>
      <c r="B8" s="9">
        <v>-37</v>
      </c>
      <c r="C8" s="10">
        <f t="shared" si="0"/>
        <v>9.25</v>
      </c>
      <c r="D8" s="10">
        <v>15.3</v>
      </c>
      <c r="E8" s="10">
        <f t="shared" si="1"/>
        <v>29.4</v>
      </c>
      <c r="F8" s="10">
        <f t="shared" si="2"/>
        <v>135.97499999999999</v>
      </c>
      <c r="G8" s="10">
        <f t="shared" si="3"/>
        <v>-566.1</v>
      </c>
      <c r="H8" s="10">
        <f t="shared" si="4"/>
        <v>-1218.2249999999999</v>
      </c>
      <c r="I8" s="10">
        <f t="shared" si="5"/>
        <v>-5634.2906249999996</v>
      </c>
      <c r="J8" s="10">
        <f t="shared" si="6"/>
        <v>3581.5770000000007</v>
      </c>
      <c r="K8" s="10">
        <f t="shared" si="7"/>
        <v>6384.7980000000007</v>
      </c>
      <c r="L8" s="10">
        <f t="shared" si="8"/>
        <v>29529.690750000002</v>
      </c>
      <c r="M8" s="10">
        <f t="shared" si="9"/>
        <v>20945.7</v>
      </c>
      <c r="N8" s="10">
        <f t="shared" si="10"/>
        <v>51106.481249999997</v>
      </c>
      <c r="O8" s="18">
        <f t="shared" si="11"/>
        <v>236367.47578124999</v>
      </c>
    </row>
    <row r="9" spans="1:15" ht="15.75" thickBot="1" x14ac:dyDescent="0.3">
      <c r="A9" s="30">
        <v>7</v>
      </c>
      <c r="B9" s="9">
        <v>-27.75</v>
      </c>
      <c r="C9" s="10">
        <f t="shared" si="0"/>
        <v>9.25</v>
      </c>
      <c r="D9" s="10">
        <v>15.9</v>
      </c>
      <c r="E9" s="10">
        <f t="shared" si="1"/>
        <v>31.200000000000003</v>
      </c>
      <c r="F9" s="10">
        <f t="shared" si="2"/>
        <v>144.30000000000001</v>
      </c>
      <c r="G9" s="10">
        <f t="shared" si="3"/>
        <v>-441.22500000000002</v>
      </c>
      <c r="H9" s="10">
        <f t="shared" si="4"/>
        <v>-1007.325</v>
      </c>
      <c r="I9" s="10">
        <f t="shared" si="5"/>
        <v>-4658.8781250000002</v>
      </c>
      <c r="J9" s="10">
        <f t="shared" si="6"/>
        <v>4019.6790000000001</v>
      </c>
      <c r="K9" s="10">
        <f t="shared" si="7"/>
        <v>7601.2560000000012</v>
      </c>
      <c r="L9" s="10">
        <f t="shared" si="8"/>
        <v>35155.809000000008</v>
      </c>
      <c r="M9" s="10">
        <f t="shared" si="9"/>
        <v>12243.99375</v>
      </c>
      <c r="N9" s="10">
        <f t="shared" si="10"/>
        <v>33189.693749999999</v>
      </c>
      <c r="O9" s="18">
        <f t="shared" si="11"/>
        <v>153502.33359374999</v>
      </c>
    </row>
    <row r="10" spans="1:15" ht="15.75" thickBot="1" x14ac:dyDescent="0.3">
      <c r="A10" s="30">
        <v>8</v>
      </c>
      <c r="B10" s="9">
        <v>-18.5</v>
      </c>
      <c r="C10" s="10">
        <f t="shared" si="0"/>
        <v>9.25</v>
      </c>
      <c r="D10" s="10">
        <v>16</v>
      </c>
      <c r="E10" s="10">
        <f t="shared" si="1"/>
        <v>31.9</v>
      </c>
      <c r="F10" s="10">
        <f t="shared" si="2"/>
        <v>147.53749999999999</v>
      </c>
      <c r="G10" s="10">
        <f t="shared" si="3"/>
        <v>-296</v>
      </c>
      <c r="H10" s="10">
        <f t="shared" si="4"/>
        <v>-737.22500000000002</v>
      </c>
      <c r="I10" s="10">
        <f t="shared" si="5"/>
        <v>-3409.6656250000001</v>
      </c>
      <c r="J10" s="10">
        <f t="shared" si="6"/>
        <v>4096</v>
      </c>
      <c r="K10" s="10">
        <f t="shared" si="7"/>
        <v>8115.6790000000001</v>
      </c>
      <c r="L10" s="10">
        <f t="shared" si="8"/>
        <v>37535.015375000003</v>
      </c>
      <c r="M10" s="10">
        <f t="shared" si="9"/>
        <v>5476</v>
      </c>
      <c r="N10" s="10">
        <f t="shared" si="10"/>
        <v>17719.993750000001</v>
      </c>
      <c r="O10" s="18">
        <f t="shared" si="11"/>
        <v>81954.971093750006</v>
      </c>
    </row>
    <row r="11" spans="1:15" ht="15.75" thickBot="1" x14ac:dyDescent="0.3">
      <c r="A11" s="30">
        <v>9</v>
      </c>
      <c r="B11" s="9">
        <v>-9.25</v>
      </c>
      <c r="C11" s="10">
        <f t="shared" si="0"/>
        <v>9.25</v>
      </c>
      <c r="D11" s="10">
        <v>16</v>
      </c>
      <c r="E11" s="10">
        <f t="shared" si="1"/>
        <v>32</v>
      </c>
      <c r="F11" s="10">
        <f t="shared" si="2"/>
        <v>148</v>
      </c>
      <c r="G11" s="10">
        <f t="shared" si="3"/>
        <v>-148</v>
      </c>
      <c r="H11" s="10">
        <f t="shared" si="4"/>
        <v>-444</v>
      </c>
      <c r="I11" s="10">
        <f t="shared" si="5"/>
        <v>-2053.5</v>
      </c>
      <c r="J11" s="10">
        <f t="shared" si="6"/>
        <v>4096</v>
      </c>
      <c r="K11" s="10">
        <f t="shared" si="7"/>
        <v>8192</v>
      </c>
      <c r="L11" s="10">
        <f t="shared" si="8"/>
        <v>37888</v>
      </c>
      <c r="M11" s="10">
        <f t="shared" si="9"/>
        <v>1369</v>
      </c>
      <c r="N11" s="10">
        <f t="shared" si="10"/>
        <v>6845</v>
      </c>
      <c r="O11" s="18">
        <f t="shared" si="11"/>
        <v>31658.125</v>
      </c>
    </row>
    <row r="12" spans="1:15" ht="15.75" thickBot="1" x14ac:dyDescent="0.3">
      <c r="A12" s="30">
        <v>10</v>
      </c>
      <c r="B12" s="9">
        <v>0</v>
      </c>
      <c r="C12" s="10">
        <f t="shared" si="0"/>
        <v>9.25</v>
      </c>
      <c r="D12" s="10">
        <v>16</v>
      </c>
      <c r="E12" s="10">
        <f t="shared" si="1"/>
        <v>32</v>
      </c>
      <c r="F12" s="10">
        <f t="shared" si="2"/>
        <v>148</v>
      </c>
      <c r="G12" s="10">
        <f t="shared" si="3"/>
        <v>0</v>
      </c>
      <c r="H12" s="10">
        <f t="shared" si="4"/>
        <v>-148</v>
      </c>
      <c r="I12" s="10">
        <f t="shared" si="5"/>
        <v>-684.5</v>
      </c>
      <c r="J12" s="10">
        <f t="shared" si="6"/>
        <v>4096</v>
      </c>
      <c r="K12" s="10">
        <f t="shared" si="7"/>
        <v>8192</v>
      </c>
      <c r="L12" s="10">
        <f t="shared" si="8"/>
        <v>37888</v>
      </c>
      <c r="M12" s="10">
        <f t="shared" si="9"/>
        <v>0</v>
      </c>
      <c r="N12" s="10">
        <f t="shared" si="10"/>
        <v>1369</v>
      </c>
      <c r="O12" s="18">
        <f t="shared" si="11"/>
        <v>6331.625</v>
      </c>
    </row>
    <row r="13" spans="1:15" ht="15.75" thickBot="1" x14ac:dyDescent="0.3">
      <c r="A13" s="30">
        <v>11</v>
      </c>
      <c r="B13" s="9">
        <v>9.25</v>
      </c>
      <c r="C13" s="10">
        <f t="shared" si="0"/>
        <v>9.25</v>
      </c>
      <c r="D13" s="10">
        <v>16</v>
      </c>
      <c r="E13" s="10">
        <f t="shared" si="1"/>
        <v>32</v>
      </c>
      <c r="F13" s="10">
        <f t="shared" si="2"/>
        <v>148</v>
      </c>
      <c r="G13" s="10">
        <f t="shared" si="3"/>
        <v>148</v>
      </c>
      <c r="H13" s="10">
        <f t="shared" si="4"/>
        <v>148</v>
      </c>
      <c r="I13" s="10">
        <f t="shared" si="5"/>
        <v>684.5</v>
      </c>
      <c r="J13" s="10">
        <f t="shared" si="6"/>
        <v>4096</v>
      </c>
      <c r="K13" s="10">
        <f t="shared" si="7"/>
        <v>8192</v>
      </c>
      <c r="L13" s="10">
        <f t="shared" si="8"/>
        <v>37888</v>
      </c>
      <c r="M13" s="10">
        <f t="shared" si="9"/>
        <v>1369</v>
      </c>
      <c r="N13" s="10">
        <f t="shared" si="10"/>
        <v>1369</v>
      </c>
      <c r="O13" s="18">
        <f t="shared" si="11"/>
        <v>6331.625</v>
      </c>
    </row>
    <row r="14" spans="1:15" ht="15.75" thickBot="1" x14ac:dyDescent="0.3">
      <c r="A14" s="30">
        <v>12</v>
      </c>
      <c r="B14" s="9">
        <v>18.5</v>
      </c>
      <c r="C14" s="10">
        <f t="shared" si="0"/>
        <v>9.25</v>
      </c>
      <c r="D14" s="10">
        <v>16</v>
      </c>
      <c r="E14" s="10">
        <f t="shared" si="1"/>
        <v>32</v>
      </c>
      <c r="F14" s="10">
        <f t="shared" si="2"/>
        <v>148</v>
      </c>
      <c r="G14" s="10">
        <f t="shared" si="3"/>
        <v>296</v>
      </c>
      <c r="H14" s="10">
        <f t="shared" si="4"/>
        <v>444</v>
      </c>
      <c r="I14" s="10">
        <f t="shared" si="5"/>
        <v>2053.5</v>
      </c>
      <c r="J14" s="10">
        <f t="shared" si="6"/>
        <v>4096</v>
      </c>
      <c r="K14" s="10">
        <f t="shared" si="7"/>
        <v>8192</v>
      </c>
      <c r="L14" s="10">
        <f t="shared" si="8"/>
        <v>37888</v>
      </c>
      <c r="M14" s="10">
        <f t="shared" si="9"/>
        <v>5476</v>
      </c>
      <c r="N14" s="10">
        <f t="shared" si="10"/>
        <v>6845</v>
      </c>
      <c r="O14" s="18">
        <f t="shared" si="11"/>
        <v>31658.125</v>
      </c>
    </row>
    <row r="15" spans="1:15" ht="15.75" thickBot="1" x14ac:dyDescent="0.3">
      <c r="A15" s="30">
        <v>13</v>
      </c>
      <c r="B15" s="9">
        <v>27.75</v>
      </c>
      <c r="C15" s="10">
        <f t="shared" si="0"/>
        <v>9.25</v>
      </c>
      <c r="D15" s="10">
        <v>15.7</v>
      </c>
      <c r="E15" s="10">
        <f t="shared" si="1"/>
        <v>31.7</v>
      </c>
      <c r="F15" s="10">
        <f t="shared" si="2"/>
        <v>146.61249999999998</v>
      </c>
      <c r="G15" s="10">
        <f t="shared" si="3"/>
        <v>435.67499999999995</v>
      </c>
      <c r="H15" s="10">
        <f t="shared" si="4"/>
        <v>731.67499999999995</v>
      </c>
      <c r="I15" s="10">
        <f t="shared" si="5"/>
        <v>3383.9968749999998</v>
      </c>
      <c r="J15" s="10">
        <f t="shared" si="6"/>
        <v>3869.8929999999996</v>
      </c>
      <c r="K15" s="10">
        <f t="shared" si="7"/>
        <v>7965.893</v>
      </c>
      <c r="L15" s="10">
        <f t="shared" si="8"/>
        <v>36842.255125000003</v>
      </c>
      <c r="M15" s="10">
        <f t="shared" si="9"/>
        <v>12089.981249999999</v>
      </c>
      <c r="N15" s="10">
        <f t="shared" si="10"/>
        <v>17565.981249999997</v>
      </c>
      <c r="O15" s="18">
        <f t="shared" si="11"/>
        <v>81242.663281249988</v>
      </c>
    </row>
    <row r="16" spans="1:15" ht="15.75" thickBot="1" x14ac:dyDescent="0.3">
      <c r="A16" s="30">
        <v>14</v>
      </c>
      <c r="B16" s="9">
        <v>37</v>
      </c>
      <c r="C16" s="10">
        <f t="shared" si="0"/>
        <v>9.25</v>
      </c>
      <c r="D16" s="10">
        <v>14.9</v>
      </c>
      <c r="E16" s="10">
        <f t="shared" si="1"/>
        <v>30.6</v>
      </c>
      <c r="F16" s="10">
        <f t="shared" si="2"/>
        <v>141.52500000000001</v>
      </c>
      <c r="G16" s="10">
        <f t="shared" si="3"/>
        <v>551.30000000000007</v>
      </c>
      <c r="H16" s="10">
        <f t="shared" si="4"/>
        <v>986.97500000000002</v>
      </c>
      <c r="I16" s="10">
        <f t="shared" si="5"/>
        <v>4564.7593750000005</v>
      </c>
      <c r="J16" s="10">
        <f t="shared" si="6"/>
        <v>3307.9490000000005</v>
      </c>
      <c r="K16" s="10">
        <f t="shared" si="7"/>
        <v>7177.8420000000006</v>
      </c>
      <c r="L16" s="10">
        <f t="shared" si="8"/>
        <v>33197.519250000005</v>
      </c>
      <c r="M16" s="10">
        <f t="shared" si="9"/>
        <v>20398.100000000002</v>
      </c>
      <c r="N16" s="10">
        <f t="shared" si="10"/>
        <v>32488.081250000003</v>
      </c>
      <c r="O16" s="18">
        <f t="shared" si="11"/>
        <v>150257.37578125001</v>
      </c>
    </row>
    <row r="17" spans="1:15" ht="15.75" thickBot="1" x14ac:dyDescent="0.3">
      <c r="A17" s="30">
        <v>15</v>
      </c>
      <c r="B17" s="9">
        <v>46.25</v>
      </c>
      <c r="C17" s="10">
        <f t="shared" si="0"/>
        <v>9.25</v>
      </c>
      <c r="D17" s="10">
        <v>13</v>
      </c>
      <c r="E17" s="10">
        <f t="shared" si="1"/>
        <v>27.9</v>
      </c>
      <c r="F17" s="10">
        <f t="shared" si="2"/>
        <v>129.03749999999999</v>
      </c>
      <c r="G17" s="10">
        <f t="shared" si="3"/>
        <v>601.25</v>
      </c>
      <c r="H17" s="10">
        <f t="shared" si="4"/>
        <v>1152.5500000000002</v>
      </c>
      <c r="I17" s="10">
        <f t="shared" si="5"/>
        <v>5330.5437500000007</v>
      </c>
      <c r="J17" s="10">
        <f t="shared" si="6"/>
        <v>2197</v>
      </c>
      <c r="K17" s="10">
        <f t="shared" si="7"/>
        <v>5504.9490000000005</v>
      </c>
      <c r="L17" s="10">
        <f t="shared" si="8"/>
        <v>25460.389125000002</v>
      </c>
      <c r="M17" s="10">
        <f t="shared" si="9"/>
        <v>27807.8125</v>
      </c>
      <c r="N17" s="10">
        <f t="shared" si="10"/>
        <v>48205.912500000006</v>
      </c>
      <c r="O17" s="18">
        <f t="shared" si="11"/>
        <v>222952.34531250002</v>
      </c>
    </row>
    <row r="18" spans="1:15" ht="15.75" thickBot="1" x14ac:dyDescent="0.3">
      <c r="A18" s="30">
        <v>16</v>
      </c>
      <c r="B18" s="9">
        <v>55.5</v>
      </c>
      <c r="C18" s="10">
        <f t="shared" si="0"/>
        <v>9.25</v>
      </c>
      <c r="D18" s="10">
        <v>9.64</v>
      </c>
      <c r="E18" s="10">
        <f t="shared" si="1"/>
        <v>22.64</v>
      </c>
      <c r="F18" s="10">
        <f t="shared" si="2"/>
        <v>104.71000000000001</v>
      </c>
      <c r="G18" s="10">
        <f t="shared" si="3"/>
        <v>535.02</v>
      </c>
      <c r="H18" s="10">
        <f t="shared" si="4"/>
        <v>1136.27</v>
      </c>
      <c r="I18" s="10">
        <f t="shared" si="5"/>
        <v>5255.2487499999997</v>
      </c>
      <c r="J18" s="10">
        <f t="shared" si="6"/>
        <v>895.84134400000016</v>
      </c>
      <c r="K18" s="10">
        <f t="shared" si="7"/>
        <v>3092.8413440000004</v>
      </c>
      <c r="L18" s="10">
        <f t="shared" si="8"/>
        <v>14304.391216000002</v>
      </c>
      <c r="M18" s="10">
        <f t="shared" si="9"/>
        <v>29693.61</v>
      </c>
      <c r="N18" s="10">
        <f t="shared" si="10"/>
        <v>57501.422500000001</v>
      </c>
      <c r="O18" s="18">
        <f t="shared" si="11"/>
        <v>265944.07906249998</v>
      </c>
    </row>
    <row r="19" spans="1:15" ht="15.75" thickBot="1" x14ac:dyDescent="0.3">
      <c r="A19" s="30">
        <v>17</v>
      </c>
      <c r="B19" s="9">
        <v>64.75</v>
      </c>
      <c r="C19" s="10">
        <f t="shared" si="0"/>
        <v>9.25</v>
      </c>
      <c r="D19" s="10">
        <v>6.06</v>
      </c>
      <c r="E19" s="10">
        <f t="shared" si="1"/>
        <v>15.7</v>
      </c>
      <c r="F19" s="10">
        <f t="shared" si="2"/>
        <v>72.612499999999997</v>
      </c>
      <c r="G19" s="10">
        <f t="shared" si="3"/>
        <v>392.38499999999999</v>
      </c>
      <c r="H19" s="10">
        <f t="shared" si="4"/>
        <v>927.40499999999997</v>
      </c>
      <c r="I19" s="10">
        <f t="shared" si="5"/>
        <v>4289.2481250000001</v>
      </c>
      <c r="J19" s="10">
        <f t="shared" si="6"/>
        <v>222.54501599999998</v>
      </c>
      <c r="K19" s="10">
        <f t="shared" si="7"/>
        <v>1118.3863600000002</v>
      </c>
      <c r="L19" s="10">
        <f t="shared" si="8"/>
        <v>5172.5369150000006</v>
      </c>
      <c r="M19" s="10">
        <f t="shared" si="9"/>
        <v>25406.928749999999</v>
      </c>
      <c r="N19" s="10">
        <f t="shared" si="10"/>
        <v>55100.53875</v>
      </c>
      <c r="O19" s="18">
        <f t="shared" si="11"/>
        <v>254839.99171875001</v>
      </c>
    </row>
    <row r="20" spans="1:15" ht="15.75" thickBot="1" x14ac:dyDescent="0.3">
      <c r="A20" s="30">
        <v>18</v>
      </c>
      <c r="B20" s="9">
        <v>74</v>
      </c>
      <c r="C20" s="10">
        <f t="shared" si="0"/>
        <v>9.25</v>
      </c>
      <c r="D20" s="10">
        <v>3.46</v>
      </c>
      <c r="E20" s="10">
        <f t="shared" si="1"/>
        <v>9.52</v>
      </c>
      <c r="F20" s="10">
        <f t="shared" si="2"/>
        <v>44.03</v>
      </c>
      <c r="G20" s="10">
        <f t="shared" si="3"/>
        <v>256.04000000000002</v>
      </c>
      <c r="H20" s="10">
        <f t="shared" si="4"/>
        <v>648.42499999999995</v>
      </c>
      <c r="I20" s="10">
        <f t="shared" si="5"/>
        <v>2998.9656249999998</v>
      </c>
      <c r="J20" s="10">
        <f t="shared" si="6"/>
        <v>41.421736000000003</v>
      </c>
      <c r="K20" s="10">
        <f t="shared" si="7"/>
        <v>263.96675199999999</v>
      </c>
      <c r="L20" s="10">
        <f t="shared" si="8"/>
        <v>1220.8462279999999</v>
      </c>
      <c r="M20" s="10">
        <f t="shared" si="9"/>
        <v>18946.96</v>
      </c>
      <c r="N20" s="10">
        <f t="shared" si="10"/>
        <v>44353.888749999998</v>
      </c>
      <c r="O20" s="18">
        <f t="shared" si="11"/>
        <v>205136.73546875</v>
      </c>
    </row>
    <row r="21" spans="1:15" ht="15.75" thickBot="1" x14ac:dyDescent="0.3">
      <c r="A21" s="30">
        <v>19</v>
      </c>
      <c r="B21" s="9">
        <v>83.25</v>
      </c>
      <c r="C21" s="10">
        <f t="shared" si="0"/>
        <v>9.25</v>
      </c>
      <c r="D21" s="10">
        <v>2.0299999999999998</v>
      </c>
      <c r="E21" s="10">
        <f t="shared" si="1"/>
        <v>5.49</v>
      </c>
      <c r="F21" s="10">
        <f t="shared" si="2"/>
        <v>25.391249999999999</v>
      </c>
      <c r="G21" s="10">
        <f t="shared" si="3"/>
        <v>168.99749999999997</v>
      </c>
      <c r="H21" s="10">
        <f t="shared" si="4"/>
        <v>425.03750000000002</v>
      </c>
      <c r="I21" s="10">
        <f t="shared" si="5"/>
        <v>1965.7984375000001</v>
      </c>
      <c r="J21" s="10">
        <f t="shared" si="6"/>
        <v>8.3654269999999968</v>
      </c>
      <c r="K21" s="10">
        <f t="shared" si="7"/>
        <v>49.787163</v>
      </c>
      <c r="L21" s="10">
        <f t="shared" si="8"/>
        <v>230.265628875</v>
      </c>
      <c r="M21" s="10">
        <f t="shared" si="9"/>
        <v>14069.041874999999</v>
      </c>
      <c r="N21" s="10">
        <f t="shared" si="10"/>
        <v>33016.001875000002</v>
      </c>
      <c r="O21" s="18">
        <f t="shared" si="11"/>
        <v>152699.008671875</v>
      </c>
    </row>
    <row r="22" spans="1:15" ht="15.75" thickBot="1" x14ac:dyDescent="0.3">
      <c r="A22" s="30">
        <v>20</v>
      </c>
      <c r="B22" s="9">
        <v>92.5</v>
      </c>
      <c r="C22" s="10">
        <f t="shared" si="0"/>
        <v>9.25</v>
      </c>
      <c r="D22" s="10">
        <v>1.91</v>
      </c>
      <c r="E22" s="10">
        <f t="shared" si="1"/>
        <v>3.9399999999999995</v>
      </c>
      <c r="F22" s="10">
        <f t="shared" si="2"/>
        <v>18.222499999999997</v>
      </c>
      <c r="G22" s="10">
        <f t="shared" si="3"/>
        <v>176.67499999999998</v>
      </c>
      <c r="H22" s="10">
        <f t="shared" si="4"/>
        <v>345.67249999999996</v>
      </c>
      <c r="I22" s="10">
        <f t="shared" si="5"/>
        <v>1598.7353124999997</v>
      </c>
      <c r="J22" s="10">
        <f t="shared" si="6"/>
        <v>6.9678709999999997</v>
      </c>
      <c r="K22" s="10">
        <f t="shared" si="7"/>
        <v>15.333297999999996</v>
      </c>
      <c r="L22" s="10">
        <f t="shared" si="8"/>
        <v>70.916503249999977</v>
      </c>
      <c r="M22" s="10">
        <f t="shared" si="9"/>
        <v>16342.4375</v>
      </c>
      <c r="N22" s="10">
        <f t="shared" si="10"/>
        <v>30411.479374999999</v>
      </c>
      <c r="O22" s="18">
        <f t="shared" si="11"/>
        <v>140653.09210937499</v>
      </c>
    </row>
    <row r="23" spans="1:15" ht="15.75" thickBot="1" x14ac:dyDescent="0.3">
      <c r="A23" s="30" t="s">
        <v>60</v>
      </c>
      <c r="B23" s="9">
        <v>99.835270915828303</v>
      </c>
      <c r="C23" s="10">
        <f t="shared" si="0"/>
        <v>7.3352709158283034</v>
      </c>
      <c r="D23" s="10">
        <v>0</v>
      </c>
      <c r="E23" s="10">
        <f t="shared" si="1"/>
        <v>1.91</v>
      </c>
      <c r="F23" s="10">
        <f t="shared" si="2"/>
        <v>7.0051837246160291</v>
      </c>
      <c r="G23" s="10">
        <f t="shared" si="3"/>
        <v>0</v>
      </c>
      <c r="H23" s="10">
        <f t="shared" si="4"/>
        <v>176.67499999999998</v>
      </c>
      <c r="I23" s="10">
        <f t="shared" si="5"/>
        <v>647.97949452698265</v>
      </c>
      <c r="J23" s="10">
        <f t="shared" si="6"/>
        <v>0</v>
      </c>
      <c r="K23" s="10">
        <f t="shared" si="7"/>
        <v>6.9678709999999997</v>
      </c>
      <c r="L23" s="10">
        <f t="shared" si="8"/>
        <v>25.555610745771737</v>
      </c>
      <c r="M23" s="10">
        <f t="shared" si="9"/>
        <v>0</v>
      </c>
      <c r="N23" s="10">
        <f t="shared" si="10"/>
        <v>16342.4375</v>
      </c>
      <c r="O23" s="18">
        <f t="shared" si="11"/>
        <v>59938.103243745907</v>
      </c>
    </row>
    <row r="24" spans="1:15" ht="15.75" thickBot="1" x14ac:dyDescent="0.3">
      <c r="A24" s="30" t="s">
        <v>61</v>
      </c>
      <c r="B24" s="14"/>
      <c r="C24" s="34"/>
      <c r="D24" s="34"/>
      <c r="E24" s="34"/>
      <c r="F24" s="34">
        <f>SUM(F3:F23)</f>
        <v>1993.6879936343801</v>
      </c>
      <c r="G24" s="34"/>
      <c r="H24" s="34"/>
      <c r="I24" s="34">
        <f>SUM(I3:I23)</f>
        <v>-323.46974296086171</v>
      </c>
      <c r="J24" s="34"/>
      <c r="K24" s="34"/>
      <c r="L24" s="34">
        <f>SUM(L3:L23)</f>
        <v>402528.55606792</v>
      </c>
      <c r="M24" s="34"/>
      <c r="N24" s="34"/>
      <c r="O24" s="20">
        <f>SUM(O3:O23)</f>
        <v>3080814.261170859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11</v>
      </c>
      <c r="B27" s="21">
        <f>2*F24</f>
        <v>3987.3759872687601</v>
      </c>
      <c r="C27" s="23" t="s">
        <v>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63</v>
      </c>
      <c r="B28" s="24">
        <f>2*I24</f>
        <v>-646.93948592172342</v>
      </c>
      <c r="C28" s="26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15</v>
      </c>
      <c r="B29" s="24">
        <f>B28/B27</f>
        <v>-0.16224692328672488</v>
      </c>
      <c r="C29" s="26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16</v>
      </c>
      <c r="B30" s="24">
        <f>2/3*L24</f>
        <v>268352.37071194663</v>
      </c>
      <c r="C30" s="26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17</v>
      </c>
      <c r="B31" s="24">
        <f>2*O24</f>
        <v>6161628.522341718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18</v>
      </c>
      <c r="B32" s="27">
        <f>B31-(B29)^2*B27</f>
        <v>6161523.5584005741</v>
      </c>
      <c r="C32" s="29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89DA-CB2E-420F-ACDB-57B98D3C0935}">
  <dimension ref="A1:O33"/>
  <sheetViews>
    <sheetView workbookViewId="0">
      <selection activeCell="R30" sqref="R30"/>
    </sheetView>
  </sheetViews>
  <sheetFormatPr defaultRowHeight="15" x14ac:dyDescent="0.25"/>
  <cols>
    <col min="1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49">
        <v>-86.327856238372306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</row>
    <row r="3" spans="1:15" ht="15.75" thickBot="1" x14ac:dyDescent="0.3">
      <c r="A3" s="30">
        <v>1</v>
      </c>
      <c r="B3" s="9">
        <v>-83.25</v>
      </c>
      <c r="C3" s="10">
        <f t="shared" ref="C3:C23" si="0">B3-B2</f>
        <v>3.0778562383723056</v>
      </c>
      <c r="D3" s="10">
        <v>1.44</v>
      </c>
      <c r="E3" s="10">
        <f t="shared" ref="E3:E23" si="1">D2+D3</f>
        <v>1.44</v>
      </c>
      <c r="F3" s="10">
        <f t="shared" ref="F3:F23" si="2">C3*E3/2</f>
        <v>2.2160564916280601</v>
      </c>
      <c r="G3" s="10">
        <f t="shared" ref="G3:G23" si="3">B3*D3</f>
        <v>-119.88</v>
      </c>
      <c r="H3" s="10">
        <f t="shared" ref="H3:H23" si="4">G2+G3</f>
        <v>-119.88</v>
      </c>
      <c r="I3" s="10">
        <f t="shared" ref="I3:I23" si="5">C3*H3/2</f>
        <v>-184.48670292803598</v>
      </c>
      <c r="J3" s="10">
        <f t="shared" ref="J3:J23" si="6">D3^3</f>
        <v>2.9859839999999997</v>
      </c>
      <c r="K3" s="10">
        <f t="shared" ref="K3:K23" si="7">J2+J3</f>
        <v>2.9859839999999997</v>
      </c>
      <c r="L3" s="10">
        <f t="shared" ref="L3:L23" si="8">C3*K3/2</f>
        <v>4.5952147410399453</v>
      </c>
      <c r="M3" s="10">
        <f t="shared" ref="M3:M23" si="9">B3^2*D3</f>
        <v>9980.01</v>
      </c>
      <c r="N3" s="10">
        <f t="shared" ref="N3:N23" si="10">M2+M3</f>
        <v>9980.01</v>
      </c>
      <c r="O3" s="18">
        <f t="shared" ref="O3:O23" si="11">C3*N3/2</f>
        <v>15358.518018758998</v>
      </c>
    </row>
    <row r="4" spans="1:15" ht="15.75" thickBot="1" x14ac:dyDescent="0.3">
      <c r="A4" s="30">
        <v>2</v>
      </c>
      <c r="B4" s="9">
        <v>-74</v>
      </c>
      <c r="C4" s="10">
        <f t="shared" si="0"/>
        <v>9.25</v>
      </c>
      <c r="D4" s="10">
        <v>5.99</v>
      </c>
      <c r="E4" s="10">
        <f t="shared" si="1"/>
        <v>7.43</v>
      </c>
      <c r="F4" s="10">
        <f t="shared" si="2"/>
        <v>34.363749999999996</v>
      </c>
      <c r="G4" s="10">
        <f t="shared" si="3"/>
        <v>-443.26</v>
      </c>
      <c r="H4" s="10">
        <f t="shared" si="4"/>
        <v>-563.14</v>
      </c>
      <c r="I4" s="10">
        <f t="shared" si="5"/>
        <v>-2604.5225</v>
      </c>
      <c r="J4" s="10">
        <f t="shared" si="6"/>
        <v>214.92179900000005</v>
      </c>
      <c r="K4" s="10">
        <f t="shared" si="7"/>
        <v>217.90778300000005</v>
      </c>
      <c r="L4" s="10">
        <f t="shared" si="8"/>
        <v>1007.8234963750002</v>
      </c>
      <c r="M4" s="10">
        <f t="shared" si="9"/>
        <v>32801.24</v>
      </c>
      <c r="N4" s="10">
        <f t="shared" si="10"/>
        <v>42781.25</v>
      </c>
      <c r="O4" s="18">
        <f t="shared" si="11"/>
        <v>197863.28125</v>
      </c>
    </row>
    <row r="5" spans="1:15" ht="15.75" thickBot="1" x14ac:dyDescent="0.3">
      <c r="A5" s="30">
        <v>3</v>
      </c>
      <c r="B5" s="9">
        <v>-64.75</v>
      </c>
      <c r="C5" s="10">
        <f t="shared" si="0"/>
        <v>9.25</v>
      </c>
      <c r="D5" s="10">
        <v>10.5</v>
      </c>
      <c r="E5" s="10">
        <f t="shared" si="1"/>
        <v>16.490000000000002</v>
      </c>
      <c r="F5" s="10">
        <f t="shared" si="2"/>
        <v>76.266250000000014</v>
      </c>
      <c r="G5" s="10">
        <f t="shared" si="3"/>
        <v>-679.875</v>
      </c>
      <c r="H5" s="10">
        <f t="shared" si="4"/>
        <v>-1123.135</v>
      </c>
      <c r="I5" s="10">
        <f t="shared" si="5"/>
        <v>-5194.4993750000003</v>
      </c>
      <c r="J5" s="10">
        <f t="shared" si="6"/>
        <v>1157.625</v>
      </c>
      <c r="K5" s="10">
        <f t="shared" si="7"/>
        <v>1372.546799</v>
      </c>
      <c r="L5" s="10">
        <f t="shared" si="8"/>
        <v>6348.0289453750001</v>
      </c>
      <c r="M5" s="10">
        <f t="shared" si="9"/>
        <v>44021.90625</v>
      </c>
      <c r="N5" s="10">
        <f t="shared" si="10"/>
        <v>76823.146249999991</v>
      </c>
      <c r="O5" s="18">
        <f t="shared" si="11"/>
        <v>355307.05140624999</v>
      </c>
    </row>
    <row r="6" spans="1:15" ht="15.75" thickBot="1" x14ac:dyDescent="0.3">
      <c r="A6" s="30">
        <v>4</v>
      </c>
      <c r="B6" s="9">
        <v>-55.5</v>
      </c>
      <c r="C6" s="10">
        <f t="shared" si="0"/>
        <v>9.25</v>
      </c>
      <c r="D6" s="10">
        <v>13.4</v>
      </c>
      <c r="E6" s="10">
        <f t="shared" si="1"/>
        <v>23.9</v>
      </c>
      <c r="F6" s="10">
        <f t="shared" si="2"/>
        <v>110.53749999999999</v>
      </c>
      <c r="G6" s="10">
        <f t="shared" si="3"/>
        <v>-743.7</v>
      </c>
      <c r="H6" s="10">
        <f t="shared" si="4"/>
        <v>-1423.575</v>
      </c>
      <c r="I6" s="10">
        <f t="shared" si="5"/>
        <v>-6584.0343750000002</v>
      </c>
      <c r="J6" s="10">
        <f t="shared" si="6"/>
        <v>2406.1040000000003</v>
      </c>
      <c r="K6" s="10">
        <f t="shared" si="7"/>
        <v>3563.7290000000003</v>
      </c>
      <c r="L6" s="10">
        <f t="shared" si="8"/>
        <v>16482.246625</v>
      </c>
      <c r="M6" s="10">
        <f t="shared" si="9"/>
        <v>41275.35</v>
      </c>
      <c r="N6" s="10">
        <f t="shared" si="10"/>
        <v>85297.256250000006</v>
      </c>
      <c r="O6" s="18">
        <f t="shared" si="11"/>
        <v>394499.81015625002</v>
      </c>
    </row>
    <row r="7" spans="1:15" ht="15.75" thickBot="1" x14ac:dyDescent="0.3">
      <c r="A7" s="30">
        <v>5</v>
      </c>
      <c r="B7" s="9">
        <v>-46.25</v>
      </c>
      <c r="C7" s="10">
        <f t="shared" si="0"/>
        <v>9.25</v>
      </c>
      <c r="D7" s="10">
        <v>15</v>
      </c>
      <c r="E7" s="10">
        <f t="shared" si="1"/>
        <v>28.4</v>
      </c>
      <c r="F7" s="10">
        <f t="shared" si="2"/>
        <v>131.35</v>
      </c>
      <c r="G7" s="10">
        <f t="shared" si="3"/>
        <v>-693.75</v>
      </c>
      <c r="H7" s="10">
        <f t="shared" si="4"/>
        <v>-1437.45</v>
      </c>
      <c r="I7" s="10">
        <f t="shared" si="5"/>
        <v>-6648.2062500000002</v>
      </c>
      <c r="J7" s="10">
        <f t="shared" si="6"/>
        <v>3375</v>
      </c>
      <c r="K7" s="10">
        <f t="shared" si="7"/>
        <v>5781.1040000000003</v>
      </c>
      <c r="L7" s="10">
        <f t="shared" si="8"/>
        <v>26737.606</v>
      </c>
      <c r="M7" s="10">
        <f t="shared" si="9"/>
        <v>32085.9375</v>
      </c>
      <c r="N7" s="10">
        <f t="shared" si="10"/>
        <v>73361.287500000006</v>
      </c>
      <c r="O7" s="18">
        <f t="shared" si="11"/>
        <v>339295.95468750002</v>
      </c>
    </row>
    <row r="8" spans="1:15" ht="15.75" thickBot="1" x14ac:dyDescent="0.3">
      <c r="A8" s="30">
        <v>6</v>
      </c>
      <c r="B8" s="9">
        <v>-37</v>
      </c>
      <c r="C8" s="10">
        <f t="shared" si="0"/>
        <v>9.25</v>
      </c>
      <c r="D8" s="10">
        <v>15.7</v>
      </c>
      <c r="E8" s="10">
        <f t="shared" si="1"/>
        <v>30.7</v>
      </c>
      <c r="F8" s="10">
        <f t="shared" si="2"/>
        <v>141.98749999999998</v>
      </c>
      <c r="G8" s="10">
        <f t="shared" si="3"/>
        <v>-580.9</v>
      </c>
      <c r="H8" s="10">
        <f t="shared" si="4"/>
        <v>-1274.6500000000001</v>
      </c>
      <c r="I8" s="10">
        <f t="shared" si="5"/>
        <v>-5895.2562500000004</v>
      </c>
      <c r="J8" s="10">
        <f t="shared" si="6"/>
        <v>3869.8929999999996</v>
      </c>
      <c r="K8" s="10">
        <f t="shared" si="7"/>
        <v>7244.893</v>
      </c>
      <c r="L8" s="10">
        <f t="shared" si="8"/>
        <v>33507.630125000003</v>
      </c>
      <c r="M8" s="10">
        <f t="shared" si="9"/>
        <v>21493.3</v>
      </c>
      <c r="N8" s="10">
        <f t="shared" si="10"/>
        <v>53579.237500000003</v>
      </c>
      <c r="O8" s="18">
        <f t="shared" si="11"/>
        <v>247803.97343750001</v>
      </c>
    </row>
    <row r="9" spans="1:15" ht="15.75" thickBot="1" x14ac:dyDescent="0.3">
      <c r="A9" s="30">
        <v>7</v>
      </c>
      <c r="B9" s="9">
        <v>-27.75</v>
      </c>
      <c r="C9" s="10">
        <f t="shared" si="0"/>
        <v>9.25</v>
      </c>
      <c r="D9" s="10">
        <v>16</v>
      </c>
      <c r="E9" s="10">
        <f t="shared" si="1"/>
        <v>31.7</v>
      </c>
      <c r="F9" s="10">
        <f t="shared" si="2"/>
        <v>146.61249999999998</v>
      </c>
      <c r="G9" s="10">
        <f t="shared" si="3"/>
        <v>-444</v>
      </c>
      <c r="H9" s="10">
        <f t="shared" si="4"/>
        <v>-1024.9000000000001</v>
      </c>
      <c r="I9" s="10">
        <f t="shared" si="5"/>
        <v>-4740.1625000000004</v>
      </c>
      <c r="J9" s="10">
        <f t="shared" si="6"/>
        <v>4096</v>
      </c>
      <c r="K9" s="10">
        <f t="shared" si="7"/>
        <v>7965.893</v>
      </c>
      <c r="L9" s="10">
        <f t="shared" si="8"/>
        <v>36842.255125000003</v>
      </c>
      <c r="M9" s="10">
        <f t="shared" si="9"/>
        <v>12321</v>
      </c>
      <c r="N9" s="10">
        <f t="shared" si="10"/>
        <v>33814.300000000003</v>
      </c>
      <c r="O9" s="18">
        <f t="shared" si="11"/>
        <v>156391.13750000001</v>
      </c>
    </row>
    <row r="10" spans="1:15" ht="15.75" thickBot="1" x14ac:dyDescent="0.3">
      <c r="A10" s="30">
        <v>8</v>
      </c>
      <c r="B10" s="9">
        <v>-18.5</v>
      </c>
      <c r="C10" s="10">
        <f t="shared" si="0"/>
        <v>9.25</v>
      </c>
      <c r="D10" s="10">
        <v>16</v>
      </c>
      <c r="E10" s="10">
        <f t="shared" si="1"/>
        <v>32</v>
      </c>
      <c r="F10" s="10">
        <f t="shared" si="2"/>
        <v>148</v>
      </c>
      <c r="G10" s="10">
        <f t="shared" si="3"/>
        <v>-296</v>
      </c>
      <c r="H10" s="10">
        <f t="shared" si="4"/>
        <v>-740</v>
      </c>
      <c r="I10" s="10">
        <f t="shared" si="5"/>
        <v>-3422.5</v>
      </c>
      <c r="J10" s="10">
        <f t="shared" si="6"/>
        <v>4096</v>
      </c>
      <c r="K10" s="10">
        <f t="shared" si="7"/>
        <v>8192</v>
      </c>
      <c r="L10" s="10">
        <f t="shared" si="8"/>
        <v>37888</v>
      </c>
      <c r="M10" s="10">
        <f t="shared" si="9"/>
        <v>5476</v>
      </c>
      <c r="N10" s="10">
        <f t="shared" si="10"/>
        <v>17797</v>
      </c>
      <c r="O10" s="18">
        <f t="shared" si="11"/>
        <v>82311.125</v>
      </c>
    </row>
    <row r="11" spans="1:15" ht="15.75" thickBot="1" x14ac:dyDescent="0.3">
      <c r="A11" s="30">
        <v>9</v>
      </c>
      <c r="B11" s="9">
        <v>-9.25</v>
      </c>
      <c r="C11" s="10">
        <f t="shared" si="0"/>
        <v>9.25</v>
      </c>
      <c r="D11" s="10">
        <v>16</v>
      </c>
      <c r="E11" s="10">
        <f t="shared" si="1"/>
        <v>32</v>
      </c>
      <c r="F11" s="10">
        <f t="shared" si="2"/>
        <v>148</v>
      </c>
      <c r="G11" s="10">
        <f t="shared" si="3"/>
        <v>-148</v>
      </c>
      <c r="H11" s="10">
        <f t="shared" si="4"/>
        <v>-444</v>
      </c>
      <c r="I11" s="10">
        <f t="shared" si="5"/>
        <v>-2053.5</v>
      </c>
      <c r="J11" s="10">
        <f t="shared" si="6"/>
        <v>4096</v>
      </c>
      <c r="K11" s="10">
        <f t="shared" si="7"/>
        <v>8192</v>
      </c>
      <c r="L11" s="10">
        <f t="shared" si="8"/>
        <v>37888</v>
      </c>
      <c r="M11" s="10">
        <f t="shared" si="9"/>
        <v>1369</v>
      </c>
      <c r="N11" s="10">
        <f t="shared" si="10"/>
        <v>6845</v>
      </c>
      <c r="O11" s="18">
        <f t="shared" si="11"/>
        <v>31658.125</v>
      </c>
    </row>
    <row r="12" spans="1:15" ht="15.75" thickBot="1" x14ac:dyDescent="0.3">
      <c r="A12" s="30">
        <v>10</v>
      </c>
      <c r="B12" s="9">
        <v>0</v>
      </c>
      <c r="C12" s="10">
        <f t="shared" si="0"/>
        <v>9.25</v>
      </c>
      <c r="D12" s="10">
        <v>16</v>
      </c>
      <c r="E12" s="10">
        <f t="shared" si="1"/>
        <v>32</v>
      </c>
      <c r="F12" s="10">
        <f t="shared" si="2"/>
        <v>148</v>
      </c>
      <c r="G12" s="10">
        <f t="shared" si="3"/>
        <v>0</v>
      </c>
      <c r="H12" s="10">
        <f t="shared" si="4"/>
        <v>-148</v>
      </c>
      <c r="I12" s="10">
        <f t="shared" si="5"/>
        <v>-684.5</v>
      </c>
      <c r="J12" s="10">
        <f t="shared" si="6"/>
        <v>4096</v>
      </c>
      <c r="K12" s="10">
        <f t="shared" si="7"/>
        <v>8192</v>
      </c>
      <c r="L12" s="10">
        <f t="shared" si="8"/>
        <v>37888</v>
      </c>
      <c r="M12" s="10">
        <f t="shared" si="9"/>
        <v>0</v>
      </c>
      <c r="N12" s="10">
        <f t="shared" si="10"/>
        <v>1369</v>
      </c>
      <c r="O12" s="18">
        <f t="shared" si="11"/>
        <v>6331.625</v>
      </c>
    </row>
    <row r="13" spans="1:15" ht="15.75" thickBot="1" x14ac:dyDescent="0.3">
      <c r="A13" s="30">
        <v>11</v>
      </c>
      <c r="B13" s="9">
        <v>9.25</v>
      </c>
      <c r="C13" s="10">
        <f t="shared" si="0"/>
        <v>9.25</v>
      </c>
      <c r="D13" s="10">
        <v>16</v>
      </c>
      <c r="E13" s="10">
        <f t="shared" si="1"/>
        <v>32</v>
      </c>
      <c r="F13" s="10">
        <f t="shared" si="2"/>
        <v>148</v>
      </c>
      <c r="G13" s="10">
        <f t="shared" si="3"/>
        <v>148</v>
      </c>
      <c r="H13" s="10">
        <f t="shared" si="4"/>
        <v>148</v>
      </c>
      <c r="I13" s="10">
        <f t="shared" si="5"/>
        <v>684.5</v>
      </c>
      <c r="J13" s="10">
        <f t="shared" si="6"/>
        <v>4096</v>
      </c>
      <c r="K13" s="10">
        <f t="shared" si="7"/>
        <v>8192</v>
      </c>
      <c r="L13" s="10">
        <f t="shared" si="8"/>
        <v>37888</v>
      </c>
      <c r="M13" s="10">
        <f t="shared" si="9"/>
        <v>1369</v>
      </c>
      <c r="N13" s="10">
        <f t="shared" si="10"/>
        <v>1369</v>
      </c>
      <c r="O13" s="18">
        <f t="shared" si="11"/>
        <v>6331.625</v>
      </c>
    </row>
    <row r="14" spans="1:15" ht="15.75" thickBot="1" x14ac:dyDescent="0.3">
      <c r="A14" s="30">
        <v>12</v>
      </c>
      <c r="B14" s="9">
        <v>18.5</v>
      </c>
      <c r="C14" s="10">
        <f t="shared" si="0"/>
        <v>9.25</v>
      </c>
      <c r="D14" s="10">
        <v>16</v>
      </c>
      <c r="E14" s="10">
        <f t="shared" si="1"/>
        <v>32</v>
      </c>
      <c r="F14" s="10">
        <f t="shared" si="2"/>
        <v>148</v>
      </c>
      <c r="G14" s="10">
        <f t="shared" si="3"/>
        <v>296</v>
      </c>
      <c r="H14" s="10">
        <f t="shared" si="4"/>
        <v>444</v>
      </c>
      <c r="I14" s="10">
        <f t="shared" si="5"/>
        <v>2053.5</v>
      </c>
      <c r="J14" s="10">
        <f t="shared" si="6"/>
        <v>4096</v>
      </c>
      <c r="K14" s="10">
        <f t="shared" si="7"/>
        <v>8192</v>
      </c>
      <c r="L14" s="10">
        <f t="shared" si="8"/>
        <v>37888</v>
      </c>
      <c r="M14" s="10">
        <f t="shared" si="9"/>
        <v>5476</v>
      </c>
      <c r="N14" s="10">
        <f t="shared" si="10"/>
        <v>6845</v>
      </c>
      <c r="O14" s="18">
        <f t="shared" si="11"/>
        <v>31658.125</v>
      </c>
    </row>
    <row r="15" spans="1:15" ht="15.75" thickBot="1" x14ac:dyDescent="0.3">
      <c r="A15" s="30">
        <v>13</v>
      </c>
      <c r="B15" s="9">
        <v>27.75</v>
      </c>
      <c r="C15" s="10">
        <f t="shared" si="0"/>
        <v>9.25</v>
      </c>
      <c r="D15" s="10">
        <v>15.9</v>
      </c>
      <c r="E15" s="10">
        <f t="shared" si="1"/>
        <v>31.9</v>
      </c>
      <c r="F15" s="10">
        <f t="shared" si="2"/>
        <v>147.53749999999999</v>
      </c>
      <c r="G15" s="10">
        <f t="shared" si="3"/>
        <v>441.22500000000002</v>
      </c>
      <c r="H15" s="10">
        <f t="shared" si="4"/>
        <v>737.22500000000002</v>
      </c>
      <c r="I15" s="10">
        <f t="shared" si="5"/>
        <v>3409.6656250000001</v>
      </c>
      <c r="J15" s="10">
        <f t="shared" si="6"/>
        <v>4019.6790000000001</v>
      </c>
      <c r="K15" s="10">
        <f t="shared" si="7"/>
        <v>8115.6790000000001</v>
      </c>
      <c r="L15" s="10">
        <f t="shared" si="8"/>
        <v>37535.015375000003</v>
      </c>
      <c r="M15" s="10">
        <f t="shared" si="9"/>
        <v>12243.99375</v>
      </c>
      <c r="N15" s="10">
        <f t="shared" si="10"/>
        <v>17719.993750000001</v>
      </c>
      <c r="O15" s="18">
        <f t="shared" si="11"/>
        <v>81954.971093750006</v>
      </c>
    </row>
    <row r="16" spans="1:15" ht="15.75" thickBot="1" x14ac:dyDescent="0.3">
      <c r="A16" s="30">
        <v>14</v>
      </c>
      <c r="B16" s="9">
        <v>37</v>
      </c>
      <c r="C16" s="10">
        <f t="shared" si="0"/>
        <v>9.25</v>
      </c>
      <c r="D16" s="10">
        <v>15.3</v>
      </c>
      <c r="E16" s="10">
        <f t="shared" si="1"/>
        <v>31.200000000000003</v>
      </c>
      <c r="F16" s="10">
        <f t="shared" si="2"/>
        <v>144.30000000000001</v>
      </c>
      <c r="G16" s="10">
        <f t="shared" si="3"/>
        <v>566.1</v>
      </c>
      <c r="H16" s="10">
        <f t="shared" si="4"/>
        <v>1007.325</v>
      </c>
      <c r="I16" s="10">
        <f t="shared" si="5"/>
        <v>4658.8781250000002</v>
      </c>
      <c r="J16" s="10">
        <f t="shared" si="6"/>
        <v>3581.5770000000007</v>
      </c>
      <c r="K16" s="10">
        <f t="shared" si="7"/>
        <v>7601.2560000000012</v>
      </c>
      <c r="L16" s="10">
        <f t="shared" si="8"/>
        <v>35155.809000000008</v>
      </c>
      <c r="M16" s="10">
        <f t="shared" si="9"/>
        <v>20945.7</v>
      </c>
      <c r="N16" s="10">
        <f t="shared" si="10"/>
        <v>33189.693749999999</v>
      </c>
      <c r="O16" s="18">
        <f t="shared" si="11"/>
        <v>153502.33359374999</v>
      </c>
    </row>
    <row r="17" spans="1:15" ht="15.75" thickBot="1" x14ac:dyDescent="0.3">
      <c r="A17" s="30">
        <v>15</v>
      </c>
      <c r="B17" s="9">
        <v>46.25</v>
      </c>
      <c r="C17" s="10">
        <f t="shared" si="0"/>
        <v>9.25</v>
      </c>
      <c r="D17" s="10">
        <v>13.7</v>
      </c>
      <c r="E17" s="10">
        <f t="shared" si="1"/>
        <v>29</v>
      </c>
      <c r="F17" s="10">
        <f t="shared" si="2"/>
        <v>134.125</v>
      </c>
      <c r="G17" s="10">
        <f t="shared" si="3"/>
        <v>633.625</v>
      </c>
      <c r="H17" s="10">
        <f t="shared" si="4"/>
        <v>1199.7249999999999</v>
      </c>
      <c r="I17" s="10">
        <f t="shared" si="5"/>
        <v>5548.7281249999996</v>
      </c>
      <c r="J17" s="10">
        <f t="shared" si="6"/>
        <v>2571.3529999999996</v>
      </c>
      <c r="K17" s="10">
        <f t="shared" si="7"/>
        <v>6152.93</v>
      </c>
      <c r="L17" s="10">
        <f t="shared" si="8"/>
        <v>28457.30125</v>
      </c>
      <c r="M17" s="10">
        <f t="shared" si="9"/>
        <v>29305.15625</v>
      </c>
      <c r="N17" s="10">
        <f t="shared" si="10"/>
        <v>50250.856249999997</v>
      </c>
      <c r="O17" s="18">
        <f t="shared" si="11"/>
        <v>232410.21015624999</v>
      </c>
    </row>
    <row r="18" spans="1:15" ht="15.75" thickBot="1" x14ac:dyDescent="0.3">
      <c r="A18" s="30">
        <v>16</v>
      </c>
      <c r="B18" s="9">
        <v>55.5</v>
      </c>
      <c r="C18" s="10">
        <f t="shared" si="0"/>
        <v>9.25</v>
      </c>
      <c r="D18" s="10">
        <v>10.5</v>
      </c>
      <c r="E18" s="10">
        <f t="shared" si="1"/>
        <v>24.2</v>
      </c>
      <c r="F18" s="10">
        <f t="shared" si="2"/>
        <v>111.925</v>
      </c>
      <c r="G18" s="10">
        <f t="shared" si="3"/>
        <v>582.75</v>
      </c>
      <c r="H18" s="10">
        <f t="shared" si="4"/>
        <v>1216.375</v>
      </c>
      <c r="I18" s="10">
        <f t="shared" si="5"/>
        <v>5625.734375</v>
      </c>
      <c r="J18" s="10">
        <f t="shared" si="6"/>
        <v>1157.625</v>
      </c>
      <c r="K18" s="10">
        <f t="shared" si="7"/>
        <v>3728.9779999999996</v>
      </c>
      <c r="L18" s="10">
        <f t="shared" si="8"/>
        <v>17246.523249999998</v>
      </c>
      <c r="M18" s="10">
        <f t="shared" si="9"/>
        <v>32342.625</v>
      </c>
      <c r="N18" s="10">
        <f t="shared" si="10"/>
        <v>61647.78125</v>
      </c>
      <c r="O18" s="18">
        <f t="shared" si="11"/>
        <v>285120.98828125</v>
      </c>
    </row>
    <row r="19" spans="1:15" ht="15.75" thickBot="1" x14ac:dyDescent="0.3">
      <c r="A19" s="30">
        <v>17</v>
      </c>
      <c r="B19" s="9">
        <v>64.75</v>
      </c>
      <c r="C19" s="10">
        <f t="shared" si="0"/>
        <v>9.25</v>
      </c>
      <c r="D19" s="10">
        <v>6.72</v>
      </c>
      <c r="E19" s="10">
        <f t="shared" si="1"/>
        <v>17.22</v>
      </c>
      <c r="F19" s="10">
        <f t="shared" si="2"/>
        <v>79.642499999999998</v>
      </c>
      <c r="G19" s="10">
        <f t="shared" si="3"/>
        <v>435.12</v>
      </c>
      <c r="H19" s="10">
        <f t="shared" si="4"/>
        <v>1017.87</v>
      </c>
      <c r="I19" s="10">
        <f t="shared" si="5"/>
        <v>4707.6487500000003</v>
      </c>
      <c r="J19" s="10">
        <f t="shared" si="6"/>
        <v>303.46444799999995</v>
      </c>
      <c r="K19" s="10">
        <f t="shared" si="7"/>
        <v>1461.0894479999999</v>
      </c>
      <c r="L19" s="10">
        <f t="shared" si="8"/>
        <v>6757.538697</v>
      </c>
      <c r="M19" s="10">
        <f t="shared" si="9"/>
        <v>28174.02</v>
      </c>
      <c r="N19" s="10">
        <f t="shared" si="10"/>
        <v>60516.645000000004</v>
      </c>
      <c r="O19" s="18">
        <f t="shared" si="11"/>
        <v>279889.48312500003</v>
      </c>
    </row>
    <row r="20" spans="1:15" ht="15.75" thickBot="1" x14ac:dyDescent="0.3">
      <c r="A20" s="30">
        <v>18</v>
      </c>
      <c r="B20" s="9">
        <v>74</v>
      </c>
      <c r="C20" s="10">
        <f t="shared" si="0"/>
        <v>9.25</v>
      </c>
      <c r="D20" s="10">
        <v>3.74</v>
      </c>
      <c r="E20" s="10">
        <f t="shared" si="1"/>
        <v>10.46</v>
      </c>
      <c r="F20" s="10">
        <f t="shared" si="2"/>
        <v>48.377500000000005</v>
      </c>
      <c r="G20" s="10">
        <f t="shared" si="3"/>
        <v>276.76</v>
      </c>
      <c r="H20" s="10">
        <f t="shared" si="4"/>
        <v>711.88</v>
      </c>
      <c r="I20" s="10">
        <f t="shared" si="5"/>
        <v>3292.4450000000002</v>
      </c>
      <c r="J20" s="10">
        <f t="shared" si="6"/>
        <v>52.313624000000011</v>
      </c>
      <c r="K20" s="10">
        <f t="shared" si="7"/>
        <v>355.77807199999995</v>
      </c>
      <c r="L20" s="10">
        <f t="shared" si="8"/>
        <v>1645.4735829999997</v>
      </c>
      <c r="M20" s="10">
        <f t="shared" si="9"/>
        <v>20480.240000000002</v>
      </c>
      <c r="N20" s="10">
        <f t="shared" si="10"/>
        <v>48654.26</v>
      </c>
      <c r="O20" s="18">
        <f t="shared" si="11"/>
        <v>225025.95250000001</v>
      </c>
    </row>
    <row r="21" spans="1:15" ht="15.75" thickBot="1" x14ac:dyDescent="0.3">
      <c r="A21" s="30">
        <v>19</v>
      </c>
      <c r="B21" s="9">
        <v>83.25</v>
      </c>
      <c r="C21" s="10">
        <f t="shared" si="0"/>
        <v>9.25</v>
      </c>
      <c r="D21" s="10">
        <v>1.86</v>
      </c>
      <c r="E21" s="10">
        <f t="shared" si="1"/>
        <v>5.6000000000000005</v>
      </c>
      <c r="F21" s="10">
        <f t="shared" si="2"/>
        <v>25.900000000000002</v>
      </c>
      <c r="G21" s="10">
        <f t="shared" si="3"/>
        <v>154.845</v>
      </c>
      <c r="H21" s="10">
        <f t="shared" si="4"/>
        <v>431.60500000000002</v>
      </c>
      <c r="I21" s="10">
        <f t="shared" si="5"/>
        <v>1996.173125</v>
      </c>
      <c r="J21" s="10">
        <f t="shared" si="6"/>
        <v>6.4348560000000008</v>
      </c>
      <c r="K21" s="10">
        <f t="shared" si="7"/>
        <v>58.748480000000015</v>
      </c>
      <c r="L21" s="10">
        <f t="shared" si="8"/>
        <v>271.71172000000007</v>
      </c>
      <c r="M21" s="10">
        <f t="shared" si="9"/>
        <v>12890.846250000001</v>
      </c>
      <c r="N21" s="10">
        <f t="shared" si="10"/>
        <v>33371.08625</v>
      </c>
      <c r="O21" s="18">
        <f t="shared" si="11"/>
        <v>154341.27390624999</v>
      </c>
    </row>
    <row r="22" spans="1:15" ht="15.75" thickBot="1" x14ac:dyDescent="0.3">
      <c r="A22" s="30">
        <v>20</v>
      </c>
      <c r="B22" s="9">
        <v>92.5</v>
      </c>
      <c r="C22" s="10">
        <f t="shared" si="0"/>
        <v>9.25</v>
      </c>
      <c r="D22" s="10">
        <v>1.59</v>
      </c>
      <c r="E22" s="10">
        <f t="shared" si="1"/>
        <v>3.45</v>
      </c>
      <c r="F22" s="10">
        <f t="shared" si="2"/>
        <v>15.956250000000001</v>
      </c>
      <c r="G22" s="10">
        <f t="shared" si="3"/>
        <v>147.07500000000002</v>
      </c>
      <c r="H22" s="10">
        <f t="shared" si="4"/>
        <v>301.92</v>
      </c>
      <c r="I22" s="10">
        <f t="shared" si="5"/>
        <v>1396.38</v>
      </c>
      <c r="J22" s="10">
        <f t="shared" si="6"/>
        <v>4.0196790000000009</v>
      </c>
      <c r="K22" s="10">
        <f t="shared" si="7"/>
        <v>10.454535000000002</v>
      </c>
      <c r="L22" s="10">
        <f t="shared" si="8"/>
        <v>48.352224375000006</v>
      </c>
      <c r="M22" s="10">
        <f t="shared" si="9"/>
        <v>13604.4375</v>
      </c>
      <c r="N22" s="10">
        <f t="shared" si="10"/>
        <v>26495.283750000002</v>
      </c>
      <c r="O22" s="18">
        <f t="shared" si="11"/>
        <v>122540.68734375</v>
      </c>
    </row>
    <row r="23" spans="1:15" ht="15.75" thickBot="1" x14ac:dyDescent="0.3">
      <c r="A23" s="30" t="s">
        <v>60</v>
      </c>
      <c r="B23" s="9">
        <v>99.878523568054206</v>
      </c>
      <c r="C23" s="10">
        <f t="shared" si="0"/>
        <v>7.3785235680542058</v>
      </c>
      <c r="D23" s="10">
        <v>0</v>
      </c>
      <c r="E23" s="10">
        <f t="shared" si="1"/>
        <v>1.59</v>
      </c>
      <c r="F23" s="10">
        <f t="shared" si="2"/>
        <v>5.8659262366030935</v>
      </c>
      <c r="G23" s="10">
        <f t="shared" si="3"/>
        <v>0</v>
      </c>
      <c r="H23" s="10">
        <f t="shared" si="4"/>
        <v>147.07500000000002</v>
      </c>
      <c r="I23" s="10">
        <f t="shared" si="5"/>
        <v>542.59817688578619</v>
      </c>
      <c r="J23" s="10">
        <f t="shared" si="6"/>
        <v>0</v>
      </c>
      <c r="K23" s="10">
        <f t="shared" si="7"/>
        <v>4.0196790000000009</v>
      </c>
      <c r="L23" s="10">
        <f t="shared" si="8"/>
        <v>14.829648118756284</v>
      </c>
      <c r="M23" s="10">
        <f t="shared" si="9"/>
        <v>0</v>
      </c>
      <c r="N23" s="10">
        <f t="shared" si="10"/>
        <v>13604.4375</v>
      </c>
      <c r="O23" s="18">
        <f t="shared" si="11"/>
        <v>50190.331361935219</v>
      </c>
    </row>
    <row r="24" spans="1:15" ht="15.75" thickBot="1" x14ac:dyDescent="0.3">
      <c r="A24" s="30" t="s">
        <v>61</v>
      </c>
      <c r="B24" s="14"/>
      <c r="C24" s="34"/>
      <c r="D24" s="34"/>
      <c r="E24" s="34"/>
      <c r="F24" s="34">
        <f>SUM(F3:F23)</f>
        <v>2096.9632327282311</v>
      </c>
      <c r="G24" s="34"/>
      <c r="H24" s="34"/>
      <c r="I24" s="34">
        <f>SUM(I3:I23)</f>
        <v>-4095.4166510422519</v>
      </c>
      <c r="J24" s="34"/>
      <c r="K24" s="34"/>
      <c r="L24" s="34">
        <f>SUM(L3:L23)</f>
        <v>437502.74027898494</v>
      </c>
      <c r="M24" s="34"/>
      <c r="N24" s="34"/>
      <c r="O24" s="20">
        <f>SUM(O3:O23)</f>
        <v>3449786.5828181938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30" t="s">
        <v>11</v>
      </c>
      <c r="B27" s="21">
        <f>2*F24</f>
        <v>4193.9264654564622</v>
      </c>
      <c r="C27" s="23" t="s">
        <v>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63</v>
      </c>
      <c r="B28" s="24">
        <f>2*I24</f>
        <v>-8190.8333020845039</v>
      </c>
      <c r="C28" s="26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15</v>
      </c>
      <c r="B29" s="24">
        <f>B28/B27</f>
        <v>-1.9530226315479813</v>
      </c>
      <c r="C29" s="26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16</v>
      </c>
      <c r="B30" s="24">
        <f>2/3*L24</f>
        <v>291668.4935193233</v>
      </c>
      <c r="C30" s="26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17</v>
      </c>
      <c r="B31" s="24">
        <f>2*O24</f>
        <v>6899573.1656363877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18</v>
      </c>
      <c r="B32" s="27">
        <f>B31-(B29)^2*B27</f>
        <v>6883576.2828261796</v>
      </c>
      <c r="C32" s="29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" x14ac:dyDescent="0.25">
      <c r="A33" s="5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1A77-69D2-462B-9F09-6E513379D55C}">
  <dimension ref="A1:O32"/>
  <sheetViews>
    <sheetView workbookViewId="0">
      <selection activeCell="P30" sqref="P30"/>
    </sheetView>
  </sheetViews>
  <sheetFormatPr defaultRowHeight="15" x14ac:dyDescent="0.25"/>
  <cols>
    <col min="1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31">
        <v>-88.512798070999906</v>
      </c>
      <c r="C2" s="32" t="s">
        <v>9</v>
      </c>
      <c r="D2" s="32">
        <v>0</v>
      </c>
      <c r="E2" s="32" t="s">
        <v>9</v>
      </c>
      <c r="F2" s="32" t="s">
        <v>9</v>
      </c>
      <c r="G2" s="32">
        <v>0</v>
      </c>
      <c r="H2" s="32" t="s">
        <v>9</v>
      </c>
      <c r="I2" s="32">
        <v>0</v>
      </c>
      <c r="J2" s="32">
        <v>0</v>
      </c>
      <c r="K2" s="32" t="s">
        <v>9</v>
      </c>
      <c r="L2" s="32" t="s">
        <v>9</v>
      </c>
      <c r="M2" s="32">
        <v>0</v>
      </c>
      <c r="N2" s="32" t="s">
        <v>9</v>
      </c>
      <c r="O2" s="33" t="s">
        <v>9</v>
      </c>
    </row>
    <row r="3" spans="1:15" ht="15.75" thickBot="1" x14ac:dyDescent="0.3">
      <c r="A3" s="30">
        <v>1</v>
      </c>
      <c r="B3" s="24">
        <v>-83.25</v>
      </c>
      <c r="C3" s="25">
        <f t="shared" ref="C3:C23" si="0">B3-B2</f>
        <v>5.2627980709999065</v>
      </c>
      <c r="D3" s="25">
        <v>4.25</v>
      </c>
      <c r="E3" s="25">
        <f t="shared" ref="E3:E23" si="1">D2+D3</f>
        <v>4.25</v>
      </c>
      <c r="F3" s="25">
        <f t="shared" ref="F3:F23" si="2">C3*E3/2</f>
        <v>11.183445900874801</v>
      </c>
      <c r="G3" s="25">
        <f t="shared" ref="G3:G23" si="3">B3*D3</f>
        <v>-353.8125</v>
      </c>
      <c r="H3" s="25">
        <f t="shared" ref="H3:H23" si="4">G2+G3</f>
        <v>-353.8125</v>
      </c>
      <c r="I3" s="25">
        <f t="shared" ref="I3:I23" si="5">C3*H3/2</f>
        <v>-931.02187124782722</v>
      </c>
      <c r="J3" s="25">
        <f t="shared" ref="J3:J23" si="6">D3^3</f>
        <v>76.765625</v>
      </c>
      <c r="K3" s="25">
        <f t="shared" ref="K3:K23" si="7">J2+J3</f>
        <v>76.765625</v>
      </c>
      <c r="L3" s="25">
        <f t="shared" ref="L3:L23" si="8">C3*K3/2</f>
        <v>202.00099158455109</v>
      </c>
      <c r="M3" s="25">
        <f t="shared" ref="M3:M23" si="9">B3^2*D3</f>
        <v>29454.890625</v>
      </c>
      <c r="N3" s="25">
        <f t="shared" ref="N3:N23" si="10">M2+M3</f>
        <v>29454.890625</v>
      </c>
      <c r="O3" s="26">
        <f t="shared" ref="O3:O23" si="11">C3*N3/2</f>
        <v>77507.570781381612</v>
      </c>
    </row>
    <row r="4" spans="1:15" ht="15.75" thickBot="1" x14ac:dyDescent="0.3">
      <c r="A4" s="30">
        <v>2</v>
      </c>
      <c r="B4" s="24">
        <v>-74</v>
      </c>
      <c r="C4" s="25">
        <f t="shared" si="0"/>
        <v>9.25</v>
      </c>
      <c r="D4" s="25">
        <v>9.7799999999999994</v>
      </c>
      <c r="E4" s="25">
        <f t="shared" si="1"/>
        <v>14.03</v>
      </c>
      <c r="F4" s="25">
        <f t="shared" si="2"/>
        <v>64.888750000000002</v>
      </c>
      <c r="G4" s="25">
        <f t="shared" si="3"/>
        <v>-723.71999999999991</v>
      </c>
      <c r="H4" s="25">
        <f t="shared" si="4"/>
        <v>-1077.5324999999998</v>
      </c>
      <c r="I4" s="25">
        <f t="shared" si="5"/>
        <v>-4983.587812499999</v>
      </c>
      <c r="J4" s="25">
        <f t="shared" si="6"/>
        <v>935.44135199999971</v>
      </c>
      <c r="K4" s="25">
        <f t="shared" si="7"/>
        <v>1012.2069769999997</v>
      </c>
      <c r="L4" s="25">
        <f t="shared" si="8"/>
        <v>4681.4572686249985</v>
      </c>
      <c r="M4" s="25">
        <f t="shared" si="9"/>
        <v>53555.28</v>
      </c>
      <c r="N4" s="25">
        <f t="shared" si="10"/>
        <v>83010.170624999999</v>
      </c>
      <c r="O4" s="26">
        <f t="shared" si="11"/>
        <v>383922.03914062498</v>
      </c>
    </row>
    <row r="5" spans="1:15" ht="15.75" thickBot="1" x14ac:dyDescent="0.3">
      <c r="A5" s="30">
        <v>3</v>
      </c>
      <c r="B5" s="24">
        <v>-64.75</v>
      </c>
      <c r="C5" s="25">
        <f t="shared" si="0"/>
        <v>9.25</v>
      </c>
      <c r="D5" s="25">
        <v>12.9</v>
      </c>
      <c r="E5" s="25">
        <f t="shared" si="1"/>
        <v>22.68</v>
      </c>
      <c r="F5" s="25">
        <f t="shared" si="2"/>
        <v>104.895</v>
      </c>
      <c r="G5" s="25">
        <f t="shared" si="3"/>
        <v>-835.27499999999998</v>
      </c>
      <c r="H5" s="25">
        <f t="shared" si="4"/>
        <v>-1558.9949999999999</v>
      </c>
      <c r="I5" s="25">
        <f t="shared" si="5"/>
        <v>-7210.3518749999994</v>
      </c>
      <c r="J5" s="25">
        <f t="shared" si="6"/>
        <v>2146.6889999999999</v>
      </c>
      <c r="K5" s="25">
        <f t="shared" si="7"/>
        <v>3082.1303519999997</v>
      </c>
      <c r="L5" s="25">
        <f t="shared" si="8"/>
        <v>14254.852877999998</v>
      </c>
      <c r="M5" s="25">
        <f t="shared" si="9"/>
        <v>54084.056250000001</v>
      </c>
      <c r="N5" s="25">
        <f t="shared" si="10"/>
        <v>107639.33624999999</v>
      </c>
      <c r="O5" s="26">
        <f t="shared" si="11"/>
        <v>497831.93015624996</v>
      </c>
    </row>
    <row r="6" spans="1:15" ht="15.75" thickBot="1" x14ac:dyDescent="0.3">
      <c r="A6" s="30">
        <v>4</v>
      </c>
      <c r="B6" s="24">
        <v>-55.5</v>
      </c>
      <c r="C6" s="25">
        <f t="shared" si="0"/>
        <v>9.25</v>
      </c>
      <c r="D6" s="25">
        <v>14.7</v>
      </c>
      <c r="E6" s="25">
        <f t="shared" si="1"/>
        <v>27.6</v>
      </c>
      <c r="F6" s="25">
        <f t="shared" si="2"/>
        <v>127.65</v>
      </c>
      <c r="G6" s="25">
        <f t="shared" si="3"/>
        <v>-815.84999999999991</v>
      </c>
      <c r="H6" s="25">
        <f t="shared" si="4"/>
        <v>-1651.125</v>
      </c>
      <c r="I6" s="25">
        <f t="shared" si="5"/>
        <v>-7636.453125</v>
      </c>
      <c r="J6" s="25">
        <f t="shared" si="6"/>
        <v>3176.5229999999997</v>
      </c>
      <c r="K6" s="25">
        <f t="shared" si="7"/>
        <v>5323.2119999999995</v>
      </c>
      <c r="L6" s="25">
        <f t="shared" si="8"/>
        <v>24619.855499999998</v>
      </c>
      <c r="M6" s="25">
        <f t="shared" si="9"/>
        <v>45279.674999999996</v>
      </c>
      <c r="N6" s="25">
        <f t="shared" si="10"/>
        <v>99363.731249999997</v>
      </c>
      <c r="O6" s="26">
        <f t="shared" si="11"/>
        <v>459557.25703124999</v>
      </c>
    </row>
    <row r="7" spans="1:15" ht="15.75" thickBot="1" x14ac:dyDescent="0.3">
      <c r="A7" s="30">
        <v>5</v>
      </c>
      <c r="B7" s="24">
        <v>-46.25</v>
      </c>
      <c r="C7" s="25">
        <f t="shared" si="0"/>
        <v>9.25</v>
      </c>
      <c r="D7" s="25">
        <v>15.6</v>
      </c>
      <c r="E7" s="25">
        <f t="shared" si="1"/>
        <v>30.299999999999997</v>
      </c>
      <c r="F7" s="25">
        <f t="shared" si="2"/>
        <v>140.13749999999999</v>
      </c>
      <c r="G7" s="25">
        <f t="shared" si="3"/>
        <v>-721.5</v>
      </c>
      <c r="H7" s="25">
        <f t="shared" si="4"/>
        <v>-1537.35</v>
      </c>
      <c r="I7" s="25">
        <f t="shared" si="5"/>
        <v>-7110.2437499999996</v>
      </c>
      <c r="J7" s="25">
        <f t="shared" si="6"/>
        <v>3796.4159999999997</v>
      </c>
      <c r="K7" s="25">
        <f t="shared" si="7"/>
        <v>6972.9389999999994</v>
      </c>
      <c r="L7" s="25">
        <f t="shared" si="8"/>
        <v>32249.842874999998</v>
      </c>
      <c r="M7" s="25">
        <f t="shared" si="9"/>
        <v>33369.375</v>
      </c>
      <c r="N7" s="25">
        <f t="shared" si="10"/>
        <v>78649.049999999988</v>
      </c>
      <c r="O7" s="26">
        <f t="shared" si="11"/>
        <v>363751.85624999995</v>
      </c>
    </row>
    <row r="8" spans="1:15" ht="15.75" thickBot="1" x14ac:dyDescent="0.3">
      <c r="A8" s="30">
        <v>6</v>
      </c>
      <c r="B8" s="24">
        <v>-37</v>
      </c>
      <c r="C8" s="25">
        <f t="shared" si="0"/>
        <v>9.25</v>
      </c>
      <c r="D8" s="25">
        <v>15.9</v>
      </c>
      <c r="E8" s="25">
        <f t="shared" si="1"/>
        <v>31.5</v>
      </c>
      <c r="F8" s="25">
        <f t="shared" si="2"/>
        <v>145.6875</v>
      </c>
      <c r="G8" s="25">
        <f t="shared" si="3"/>
        <v>-588.30000000000007</v>
      </c>
      <c r="H8" s="25">
        <f t="shared" si="4"/>
        <v>-1309.8000000000002</v>
      </c>
      <c r="I8" s="25">
        <f t="shared" si="5"/>
        <v>-6057.8250000000007</v>
      </c>
      <c r="J8" s="25">
        <f t="shared" si="6"/>
        <v>4019.6790000000001</v>
      </c>
      <c r="K8" s="25">
        <f t="shared" si="7"/>
        <v>7816.0949999999993</v>
      </c>
      <c r="L8" s="25">
        <f t="shared" si="8"/>
        <v>36149.439374999994</v>
      </c>
      <c r="M8" s="25">
        <f t="shared" si="9"/>
        <v>21767.100000000002</v>
      </c>
      <c r="N8" s="25">
        <f t="shared" si="10"/>
        <v>55136.475000000006</v>
      </c>
      <c r="O8" s="26">
        <f t="shared" si="11"/>
        <v>255006.19687500002</v>
      </c>
    </row>
    <row r="9" spans="1:15" ht="15.75" thickBot="1" x14ac:dyDescent="0.3">
      <c r="A9" s="30">
        <v>7</v>
      </c>
      <c r="B9" s="24">
        <v>-27.75</v>
      </c>
      <c r="C9" s="25">
        <f t="shared" si="0"/>
        <v>9.25</v>
      </c>
      <c r="D9" s="25">
        <v>16</v>
      </c>
      <c r="E9" s="25">
        <f t="shared" si="1"/>
        <v>31.9</v>
      </c>
      <c r="F9" s="25">
        <f t="shared" si="2"/>
        <v>147.53749999999999</v>
      </c>
      <c r="G9" s="25">
        <f t="shared" si="3"/>
        <v>-444</v>
      </c>
      <c r="H9" s="25">
        <f t="shared" si="4"/>
        <v>-1032.3000000000002</v>
      </c>
      <c r="I9" s="25">
        <f t="shared" si="5"/>
        <v>-4774.3875000000007</v>
      </c>
      <c r="J9" s="25">
        <f t="shared" si="6"/>
        <v>4096</v>
      </c>
      <c r="K9" s="25">
        <f t="shared" si="7"/>
        <v>8115.6790000000001</v>
      </c>
      <c r="L9" s="25">
        <f t="shared" si="8"/>
        <v>37535.015375000003</v>
      </c>
      <c r="M9" s="25">
        <f t="shared" si="9"/>
        <v>12321</v>
      </c>
      <c r="N9" s="25">
        <f t="shared" si="10"/>
        <v>34088.100000000006</v>
      </c>
      <c r="O9" s="26">
        <f t="shared" si="11"/>
        <v>157657.46250000002</v>
      </c>
    </row>
    <row r="10" spans="1:15" ht="15.75" thickBot="1" x14ac:dyDescent="0.3">
      <c r="A10" s="30">
        <v>8</v>
      </c>
      <c r="B10" s="24">
        <v>-18.5</v>
      </c>
      <c r="C10" s="25">
        <f t="shared" si="0"/>
        <v>9.25</v>
      </c>
      <c r="D10" s="25">
        <v>16</v>
      </c>
      <c r="E10" s="25">
        <f t="shared" si="1"/>
        <v>32</v>
      </c>
      <c r="F10" s="25">
        <f t="shared" si="2"/>
        <v>148</v>
      </c>
      <c r="G10" s="25">
        <f t="shared" si="3"/>
        <v>-296</v>
      </c>
      <c r="H10" s="25">
        <f t="shared" si="4"/>
        <v>-740</v>
      </c>
      <c r="I10" s="25">
        <f t="shared" si="5"/>
        <v>-3422.5</v>
      </c>
      <c r="J10" s="25">
        <f t="shared" si="6"/>
        <v>4096</v>
      </c>
      <c r="K10" s="25">
        <f t="shared" si="7"/>
        <v>8192</v>
      </c>
      <c r="L10" s="25">
        <f t="shared" si="8"/>
        <v>37888</v>
      </c>
      <c r="M10" s="25">
        <f t="shared" si="9"/>
        <v>5476</v>
      </c>
      <c r="N10" s="25">
        <f t="shared" si="10"/>
        <v>17797</v>
      </c>
      <c r="O10" s="26">
        <f t="shared" si="11"/>
        <v>82311.125</v>
      </c>
    </row>
    <row r="11" spans="1:15" ht="15.75" thickBot="1" x14ac:dyDescent="0.3">
      <c r="A11" s="30">
        <v>9</v>
      </c>
      <c r="B11" s="24">
        <v>-9.25</v>
      </c>
      <c r="C11" s="25">
        <f t="shared" si="0"/>
        <v>9.25</v>
      </c>
      <c r="D11" s="25">
        <v>16</v>
      </c>
      <c r="E11" s="25">
        <f t="shared" si="1"/>
        <v>32</v>
      </c>
      <c r="F11" s="25">
        <f t="shared" si="2"/>
        <v>148</v>
      </c>
      <c r="G11" s="25">
        <f t="shared" si="3"/>
        <v>-148</v>
      </c>
      <c r="H11" s="25">
        <f t="shared" si="4"/>
        <v>-444</v>
      </c>
      <c r="I11" s="25">
        <f t="shared" si="5"/>
        <v>-2053.5</v>
      </c>
      <c r="J11" s="25">
        <f t="shared" si="6"/>
        <v>4096</v>
      </c>
      <c r="K11" s="25">
        <f t="shared" si="7"/>
        <v>8192</v>
      </c>
      <c r="L11" s="25">
        <f t="shared" si="8"/>
        <v>37888</v>
      </c>
      <c r="M11" s="25">
        <f t="shared" si="9"/>
        <v>1369</v>
      </c>
      <c r="N11" s="25">
        <f t="shared" si="10"/>
        <v>6845</v>
      </c>
      <c r="O11" s="26">
        <f t="shared" si="11"/>
        <v>31658.125</v>
      </c>
    </row>
    <row r="12" spans="1:15" ht="15.75" thickBot="1" x14ac:dyDescent="0.3">
      <c r="A12" s="30">
        <v>10</v>
      </c>
      <c r="B12" s="24">
        <v>0</v>
      </c>
      <c r="C12" s="25">
        <f t="shared" si="0"/>
        <v>9.25</v>
      </c>
      <c r="D12" s="25">
        <v>16</v>
      </c>
      <c r="E12" s="25">
        <f t="shared" si="1"/>
        <v>32</v>
      </c>
      <c r="F12" s="25">
        <f t="shared" si="2"/>
        <v>148</v>
      </c>
      <c r="G12" s="25">
        <f t="shared" si="3"/>
        <v>0</v>
      </c>
      <c r="H12" s="25">
        <f t="shared" si="4"/>
        <v>-148</v>
      </c>
      <c r="I12" s="25">
        <f t="shared" si="5"/>
        <v>-684.5</v>
      </c>
      <c r="J12" s="25">
        <f t="shared" si="6"/>
        <v>4096</v>
      </c>
      <c r="K12" s="25">
        <f t="shared" si="7"/>
        <v>8192</v>
      </c>
      <c r="L12" s="25">
        <f t="shared" si="8"/>
        <v>37888</v>
      </c>
      <c r="M12" s="25">
        <f t="shared" si="9"/>
        <v>0</v>
      </c>
      <c r="N12" s="25">
        <f t="shared" si="10"/>
        <v>1369</v>
      </c>
      <c r="O12" s="26">
        <f t="shared" si="11"/>
        <v>6331.625</v>
      </c>
    </row>
    <row r="13" spans="1:15" ht="15.75" thickBot="1" x14ac:dyDescent="0.3">
      <c r="A13" s="30">
        <v>11</v>
      </c>
      <c r="B13" s="24">
        <v>9.25</v>
      </c>
      <c r="C13" s="25">
        <f t="shared" si="0"/>
        <v>9.25</v>
      </c>
      <c r="D13" s="25">
        <v>16</v>
      </c>
      <c r="E13" s="25">
        <f t="shared" si="1"/>
        <v>32</v>
      </c>
      <c r="F13" s="25">
        <f t="shared" si="2"/>
        <v>148</v>
      </c>
      <c r="G13" s="25">
        <f t="shared" si="3"/>
        <v>148</v>
      </c>
      <c r="H13" s="25">
        <f t="shared" si="4"/>
        <v>148</v>
      </c>
      <c r="I13" s="25">
        <f t="shared" si="5"/>
        <v>684.5</v>
      </c>
      <c r="J13" s="25">
        <f t="shared" si="6"/>
        <v>4096</v>
      </c>
      <c r="K13" s="25">
        <f t="shared" si="7"/>
        <v>8192</v>
      </c>
      <c r="L13" s="25">
        <f t="shared" si="8"/>
        <v>37888</v>
      </c>
      <c r="M13" s="25">
        <f t="shared" si="9"/>
        <v>1369</v>
      </c>
      <c r="N13" s="25">
        <f t="shared" si="10"/>
        <v>1369</v>
      </c>
      <c r="O13" s="26">
        <f t="shared" si="11"/>
        <v>6331.625</v>
      </c>
    </row>
    <row r="14" spans="1:15" ht="15.75" thickBot="1" x14ac:dyDescent="0.3">
      <c r="A14" s="30">
        <v>12</v>
      </c>
      <c r="B14" s="24">
        <v>18.5</v>
      </c>
      <c r="C14" s="25">
        <f t="shared" si="0"/>
        <v>9.25</v>
      </c>
      <c r="D14" s="25">
        <v>16</v>
      </c>
      <c r="E14" s="25">
        <f t="shared" si="1"/>
        <v>32</v>
      </c>
      <c r="F14" s="25">
        <f t="shared" si="2"/>
        <v>148</v>
      </c>
      <c r="G14" s="25">
        <f t="shared" si="3"/>
        <v>296</v>
      </c>
      <c r="H14" s="25">
        <f t="shared" si="4"/>
        <v>444</v>
      </c>
      <c r="I14" s="25">
        <f t="shared" si="5"/>
        <v>2053.5</v>
      </c>
      <c r="J14" s="25">
        <f t="shared" si="6"/>
        <v>4096</v>
      </c>
      <c r="K14" s="25">
        <f t="shared" si="7"/>
        <v>8192</v>
      </c>
      <c r="L14" s="25">
        <f t="shared" si="8"/>
        <v>37888</v>
      </c>
      <c r="M14" s="25">
        <f t="shared" si="9"/>
        <v>5476</v>
      </c>
      <c r="N14" s="25">
        <f t="shared" si="10"/>
        <v>6845</v>
      </c>
      <c r="O14" s="26">
        <f t="shared" si="11"/>
        <v>31658.125</v>
      </c>
    </row>
    <row r="15" spans="1:15" ht="15.75" thickBot="1" x14ac:dyDescent="0.3">
      <c r="A15" s="30">
        <v>13</v>
      </c>
      <c r="B15" s="24">
        <v>27.75</v>
      </c>
      <c r="C15" s="25">
        <f t="shared" si="0"/>
        <v>9.25</v>
      </c>
      <c r="D15" s="25">
        <v>16</v>
      </c>
      <c r="E15" s="25">
        <f t="shared" si="1"/>
        <v>32</v>
      </c>
      <c r="F15" s="25">
        <f t="shared" si="2"/>
        <v>148</v>
      </c>
      <c r="G15" s="25">
        <f t="shared" si="3"/>
        <v>444</v>
      </c>
      <c r="H15" s="25">
        <f t="shared" si="4"/>
        <v>740</v>
      </c>
      <c r="I15" s="25">
        <f t="shared" si="5"/>
        <v>3422.5</v>
      </c>
      <c r="J15" s="25">
        <f t="shared" si="6"/>
        <v>4096</v>
      </c>
      <c r="K15" s="25">
        <f t="shared" si="7"/>
        <v>8192</v>
      </c>
      <c r="L15" s="25">
        <f t="shared" si="8"/>
        <v>37888</v>
      </c>
      <c r="M15" s="25">
        <f t="shared" si="9"/>
        <v>12321</v>
      </c>
      <c r="N15" s="25">
        <f t="shared" si="10"/>
        <v>17797</v>
      </c>
      <c r="O15" s="26">
        <f t="shared" si="11"/>
        <v>82311.125</v>
      </c>
    </row>
    <row r="16" spans="1:15" ht="15.75" thickBot="1" x14ac:dyDescent="0.3">
      <c r="A16" s="30">
        <v>14</v>
      </c>
      <c r="B16" s="24">
        <v>37</v>
      </c>
      <c r="C16" s="25">
        <f t="shared" si="0"/>
        <v>9.25</v>
      </c>
      <c r="D16" s="25">
        <v>15.6</v>
      </c>
      <c r="E16" s="25">
        <f t="shared" si="1"/>
        <v>31.6</v>
      </c>
      <c r="F16" s="25">
        <f t="shared" si="2"/>
        <v>146.15</v>
      </c>
      <c r="G16" s="25">
        <f t="shared" si="3"/>
        <v>577.19999999999993</v>
      </c>
      <c r="H16" s="25">
        <f t="shared" si="4"/>
        <v>1021.1999999999999</v>
      </c>
      <c r="I16" s="25">
        <f t="shared" si="5"/>
        <v>4723.0499999999993</v>
      </c>
      <c r="J16" s="25">
        <f t="shared" si="6"/>
        <v>3796.4159999999997</v>
      </c>
      <c r="K16" s="25">
        <f t="shared" si="7"/>
        <v>7892.4159999999993</v>
      </c>
      <c r="L16" s="25">
        <f t="shared" si="8"/>
        <v>36502.423999999999</v>
      </c>
      <c r="M16" s="25">
        <f t="shared" si="9"/>
        <v>21356.399999999998</v>
      </c>
      <c r="N16" s="25">
        <f t="shared" si="10"/>
        <v>33677.399999999994</v>
      </c>
      <c r="O16" s="26">
        <f t="shared" si="11"/>
        <v>155757.97499999998</v>
      </c>
    </row>
    <row r="17" spans="1:15" ht="15.75" thickBot="1" x14ac:dyDescent="0.3">
      <c r="A17" s="30">
        <v>15</v>
      </c>
      <c r="B17" s="24">
        <v>46.25</v>
      </c>
      <c r="C17" s="25">
        <f t="shared" si="0"/>
        <v>9.25</v>
      </c>
      <c r="D17" s="25">
        <v>14.3</v>
      </c>
      <c r="E17" s="25">
        <f t="shared" si="1"/>
        <v>29.9</v>
      </c>
      <c r="F17" s="25">
        <f t="shared" si="2"/>
        <v>138.28749999999999</v>
      </c>
      <c r="G17" s="25">
        <f t="shared" si="3"/>
        <v>661.375</v>
      </c>
      <c r="H17" s="25">
        <f t="shared" si="4"/>
        <v>1238.5749999999998</v>
      </c>
      <c r="I17" s="25">
        <f t="shared" si="5"/>
        <v>5728.4093749999993</v>
      </c>
      <c r="J17" s="25">
        <f t="shared" si="6"/>
        <v>2924.2070000000003</v>
      </c>
      <c r="K17" s="25">
        <f t="shared" si="7"/>
        <v>6720.6229999999996</v>
      </c>
      <c r="L17" s="25">
        <f t="shared" si="8"/>
        <v>31082.881374999997</v>
      </c>
      <c r="M17" s="25">
        <f t="shared" si="9"/>
        <v>30588.59375</v>
      </c>
      <c r="N17" s="25">
        <f t="shared" si="10"/>
        <v>51944.993749999994</v>
      </c>
      <c r="O17" s="26">
        <f t="shared" si="11"/>
        <v>240245.59609374998</v>
      </c>
    </row>
    <row r="18" spans="1:15" ht="15.75" thickBot="1" x14ac:dyDescent="0.3">
      <c r="A18" s="30">
        <v>16</v>
      </c>
      <c r="B18" s="24">
        <v>55.5</v>
      </c>
      <c r="C18" s="25">
        <f t="shared" si="0"/>
        <v>9.25</v>
      </c>
      <c r="D18" s="25">
        <v>11.4</v>
      </c>
      <c r="E18" s="25">
        <f t="shared" si="1"/>
        <v>25.700000000000003</v>
      </c>
      <c r="F18" s="25">
        <f t="shared" si="2"/>
        <v>118.86250000000001</v>
      </c>
      <c r="G18" s="25">
        <f t="shared" si="3"/>
        <v>632.70000000000005</v>
      </c>
      <c r="H18" s="25">
        <f t="shared" si="4"/>
        <v>1294.075</v>
      </c>
      <c r="I18" s="25">
        <f t="shared" si="5"/>
        <v>5985.0968750000002</v>
      </c>
      <c r="J18" s="25">
        <f t="shared" si="6"/>
        <v>1481.5440000000001</v>
      </c>
      <c r="K18" s="25">
        <f t="shared" si="7"/>
        <v>4405.7510000000002</v>
      </c>
      <c r="L18" s="25">
        <f t="shared" si="8"/>
        <v>20376.598375000001</v>
      </c>
      <c r="M18" s="25">
        <f t="shared" si="9"/>
        <v>35114.85</v>
      </c>
      <c r="N18" s="25">
        <f t="shared" si="10"/>
        <v>65703.443750000006</v>
      </c>
      <c r="O18" s="26">
        <f t="shared" si="11"/>
        <v>303878.42734375002</v>
      </c>
    </row>
    <row r="19" spans="1:15" ht="15.75" thickBot="1" x14ac:dyDescent="0.3">
      <c r="A19" s="30">
        <v>17</v>
      </c>
      <c r="B19" s="24">
        <v>64.75</v>
      </c>
      <c r="C19" s="25">
        <f t="shared" si="0"/>
        <v>9.25</v>
      </c>
      <c r="D19" s="25">
        <v>7.49</v>
      </c>
      <c r="E19" s="25">
        <f t="shared" si="1"/>
        <v>18.89</v>
      </c>
      <c r="F19" s="25">
        <f t="shared" si="2"/>
        <v>87.366250000000008</v>
      </c>
      <c r="G19" s="25">
        <f t="shared" si="3"/>
        <v>484.97750000000002</v>
      </c>
      <c r="H19" s="25">
        <f t="shared" si="4"/>
        <v>1117.6775</v>
      </c>
      <c r="I19" s="25">
        <f t="shared" si="5"/>
        <v>5169.2584374999997</v>
      </c>
      <c r="J19" s="25">
        <f t="shared" si="6"/>
        <v>420.18974900000006</v>
      </c>
      <c r="K19" s="25">
        <f t="shared" si="7"/>
        <v>1901.7337490000002</v>
      </c>
      <c r="L19" s="25">
        <f t="shared" si="8"/>
        <v>8795.5185891250003</v>
      </c>
      <c r="M19" s="25">
        <f t="shared" si="9"/>
        <v>31402.293125</v>
      </c>
      <c r="N19" s="25">
        <f t="shared" si="10"/>
        <v>66517.143125000002</v>
      </c>
      <c r="O19" s="26">
        <f t="shared" si="11"/>
        <v>307641.78695312503</v>
      </c>
    </row>
    <row r="20" spans="1:15" ht="15.75" thickBot="1" x14ac:dyDescent="0.3">
      <c r="A20" s="30">
        <v>18</v>
      </c>
      <c r="B20" s="24">
        <v>74</v>
      </c>
      <c r="C20" s="25">
        <f t="shared" si="0"/>
        <v>9.25</v>
      </c>
      <c r="D20" s="25">
        <v>4.13</v>
      </c>
      <c r="E20" s="25">
        <f t="shared" si="1"/>
        <v>11.620000000000001</v>
      </c>
      <c r="F20" s="25">
        <f t="shared" si="2"/>
        <v>53.742500000000007</v>
      </c>
      <c r="G20" s="25">
        <f t="shared" si="3"/>
        <v>305.62</v>
      </c>
      <c r="H20" s="25">
        <f t="shared" si="4"/>
        <v>790.59750000000008</v>
      </c>
      <c r="I20" s="25">
        <f t="shared" si="5"/>
        <v>3656.5134375000002</v>
      </c>
      <c r="J20" s="25">
        <f t="shared" si="6"/>
        <v>70.444996999999987</v>
      </c>
      <c r="K20" s="25">
        <f t="shared" si="7"/>
        <v>490.63474600000006</v>
      </c>
      <c r="L20" s="25">
        <f t="shared" si="8"/>
        <v>2269.1857002500001</v>
      </c>
      <c r="M20" s="25">
        <f t="shared" si="9"/>
        <v>22615.88</v>
      </c>
      <c r="N20" s="25">
        <f t="shared" si="10"/>
        <v>54018.173125000001</v>
      </c>
      <c r="O20" s="26">
        <f t="shared" si="11"/>
        <v>249834.05070312502</v>
      </c>
    </row>
    <row r="21" spans="1:15" ht="15.75" thickBot="1" x14ac:dyDescent="0.3">
      <c r="A21" s="30">
        <v>19</v>
      </c>
      <c r="B21" s="24">
        <v>83.25</v>
      </c>
      <c r="C21" s="25">
        <f t="shared" si="0"/>
        <v>9.25</v>
      </c>
      <c r="D21" s="25">
        <v>1.78</v>
      </c>
      <c r="E21" s="25">
        <f t="shared" si="1"/>
        <v>5.91</v>
      </c>
      <c r="F21" s="25">
        <f t="shared" si="2"/>
        <v>27.333750000000002</v>
      </c>
      <c r="G21" s="25">
        <f t="shared" si="3"/>
        <v>148.185</v>
      </c>
      <c r="H21" s="25">
        <f t="shared" si="4"/>
        <v>453.80500000000001</v>
      </c>
      <c r="I21" s="25">
        <f t="shared" si="5"/>
        <v>2098.848125</v>
      </c>
      <c r="J21" s="25">
        <f t="shared" si="6"/>
        <v>5.6397520000000005</v>
      </c>
      <c r="K21" s="25">
        <f t="shared" si="7"/>
        <v>76.084748999999988</v>
      </c>
      <c r="L21" s="25">
        <f t="shared" si="8"/>
        <v>351.89196412499996</v>
      </c>
      <c r="M21" s="25">
        <f t="shared" si="9"/>
        <v>12336.401250000001</v>
      </c>
      <c r="N21" s="25">
        <f t="shared" si="10"/>
        <v>34952.28125</v>
      </c>
      <c r="O21" s="26">
        <f t="shared" si="11"/>
        <v>161654.30078125</v>
      </c>
    </row>
    <row r="22" spans="1:15" ht="15.75" thickBot="1" x14ac:dyDescent="0.3">
      <c r="A22" s="30">
        <v>20</v>
      </c>
      <c r="B22" s="24">
        <v>92.5</v>
      </c>
      <c r="C22" s="25">
        <f t="shared" si="0"/>
        <v>9.25</v>
      </c>
      <c r="D22" s="25">
        <v>1.06</v>
      </c>
      <c r="E22" s="25">
        <f t="shared" si="1"/>
        <v>2.84</v>
      </c>
      <c r="F22" s="25">
        <f t="shared" si="2"/>
        <v>13.135</v>
      </c>
      <c r="G22" s="25">
        <f t="shared" si="3"/>
        <v>98.050000000000011</v>
      </c>
      <c r="H22" s="25">
        <f t="shared" si="4"/>
        <v>246.23500000000001</v>
      </c>
      <c r="I22" s="25">
        <f t="shared" si="5"/>
        <v>1138.836875</v>
      </c>
      <c r="J22" s="25">
        <f t="shared" si="6"/>
        <v>1.1910160000000003</v>
      </c>
      <c r="K22" s="25">
        <f t="shared" si="7"/>
        <v>6.8307680000000008</v>
      </c>
      <c r="L22" s="25">
        <f t="shared" si="8"/>
        <v>31.592302000000004</v>
      </c>
      <c r="M22" s="25">
        <f t="shared" si="9"/>
        <v>9069.625</v>
      </c>
      <c r="N22" s="25">
        <f t="shared" si="10"/>
        <v>21406.026250000003</v>
      </c>
      <c r="O22" s="26">
        <f t="shared" si="11"/>
        <v>99002.871406250008</v>
      </c>
    </row>
    <row r="23" spans="1:15" ht="15.75" thickBot="1" x14ac:dyDescent="0.3">
      <c r="A23" s="30" t="s">
        <v>60</v>
      </c>
      <c r="B23" s="24">
        <v>99.476461127072398</v>
      </c>
      <c r="C23" s="25">
        <f t="shared" si="0"/>
        <v>6.9764611270723975</v>
      </c>
      <c r="D23" s="25">
        <v>0</v>
      </c>
      <c r="E23" s="25">
        <f t="shared" si="1"/>
        <v>1.06</v>
      </c>
      <c r="F23" s="25">
        <f t="shared" si="2"/>
        <v>3.6975243973483707</v>
      </c>
      <c r="G23" s="25">
        <f t="shared" si="3"/>
        <v>0</v>
      </c>
      <c r="H23" s="25">
        <f t="shared" si="4"/>
        <v>98.050000000000011</v>
      </c>
      <c r="I23" s="25">
        <f t="shared" si="5"/>
        <v>342.02100675472434</v>
      </c>
      <c r="J23" s="25">
        <f t="shared" si="6"/>
        <v>0</v>
      </c>
      <c r="K23" s="25">
        <f t="shared" si="7"/>
        <v>1.1910160000000003</v>
      </c>
      <c r="L23" s="25">
        <f t="shared" si="8"/>
        <v>4.1545384128606306</v>
      </c>
      <c r="M23" s="25">
        <f t="shared" si="9"/>
        <v>0</v>
      </c>
      <c r="N23" s="25">
        <f t="shared" si="10"/>
        <v>9069.625</v>
      </c>
      <c r="O23" s="26">
        <f t="shared" si="11"/>
        <v>31636.943124811998</v>
      </c>
    </row>
    <row r="24" spans="1:15" ht="15.75" thickBot="1" x14ac:dyDescent="0.3">
      <c r="A24" s="30" t="s">
        <v>61</v>
      </c>
      <c r="B24" s="27"/>
      <c r="C24" s="28"/>
      <c r="D24" s="28"/>
      <c r="E24" s="28"/>
      <c r="F24" s="28">
        <f>SUM(F3:F23)</f>
        <v>2218.5547202982229</v>
      </c>
      <c r="G24" s="28"/>
      <c r="H24" s="28"/>
      <c r="I24" s="28">
        <f>SUM(I3:I23)</f>
        <v>-9861.8368019930949</v>
      </c>
      <c r="J24" s="28"/>
      <c r="K24" s="28"/>
      <c r="L24" s="28">
        <f>SUM(L3:L23)</f>
        <v>476434.71110712236</v>
      </c>
      <c r="M24" s="28"/>
      <c r="N24" s="28"/>
      <c r="O24" s="29">
        <f>C24*N24/2+SUM(O3:O23)</f>
        <v>3985488.0141405691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48" t="s">
        <v>11</v>
      </c>
      <c r="B27" s="22">
        <f>2*F24</f>
        <v>4437.1094405964459</v>
      </c>
      <c r="C27" s="23" t="s">
        <v>62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46" t="s">
        <v>63</v>
      </c>
      <c r="B28" s="25">
        <f>2*I24</f>
        <v>-19723.67360398619</v>
      </c>
      <c r="C28" s="26" t="s">
        <v>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46" t="s">
        <v>15</v>
      </c>
      <c r="B29" s="25">
        <f>B28/B27</f>
        <v>-4.4451627502194064</v>
      </c>
      <c r="C29" s="26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46" t="s">
        <v>16</v>
      </c>
      <c r="B30" s="25">
        <f>2/3*L24</f>
        <v>317623.14073808154</v>
      </c>
      <c r="C30" s="26" t="s">
        <v>65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46" t="s">
        <v>17</v>
      </c>
      <c r="B31" s="25">
        <f>2*O24</f>
        <v>7970976.0282811383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47" t="s">
        <v>18</v>
      </c>
      <c r="B32" s="28">
        <f>B31-(B29)^2*B27</f>
        <v>7883301.0890792133</v>
      </c>
      <c r="C32" s="29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17C3-5695-4DF8-A893-FDAE2658659B}">
  <dimension ref="A1:P34"/>
  <sheetViews>
    <sheetView workbookViewId="0">
      <selection activeCell="Q32" sqref="Q32"/>
    </sheetView>
  </sheetViews>
  <sheetFormatPr defaultRowHeight="15" x14ac:dyDescent="0.25"/>
  <cols>
    <col min="1" max="16384" width="9.140625" style="35"/>
  </cols>
  <sheetData>
    <row r="1" spans="1:16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  <c r="P1" s="4"/>
    </row>
    <row r="2" spans="1:16" ht="15.75" thickBot="1" x14ac:dyDescent="0.3">
      <c r="A2" s="30" t="s">
        <v>59</v>
      </c>
      <c r="B2" s="49">
        <v>-93.773528218000095</v>
      </c>
      <c r="C2" s="51" t="s">
        <v>9</v>
      </c>
      <c r="D2" s="51">
        <v>0</v>
      </c>
      <c r="E2" s="51" t="s">
        <v>9</v>
      </c>
      <c r="F2" s="51" t="s">
        <v>9</v>
      </c>
      <c r="G2" s="51">
        <v>0</v>
      </c>
      <c r="H2" s="51" t="s">
        <v>9</v>
      </c>
      <c r="I2" s="51">
        <v>0</v>
      </c>
      <c r="J2" s="51">
        <v>0</v>
      </c>
      <c r="K2" s="51" t="s">
        <v>9</v>
      </c>
      <c r="L2" s="51" t="s">
        <v>9</v>
      </c>
      <c r="M2" s="51">
        <v>0</v>
      </c>
      <c r="N2" s="51" t="s">
        <v>9</v>
      </c>
      <c r="O2" s="43" t="s">
        <v>9</v>
      </c>
      <c r="P2" s="4"/>
    </row>
    <row r="3" spans="1:16" ht="15.75" thickBot="1" x14ac:dyDescent="0.3">
      <c r="A3" s="30">
        <v>0</v>
      </c>
      <c r="B3" s="9">
        <v>-92.5</v>
      </c>
      <c r="C3" s="10">
        <f t="shared" ref="C3:C24" si="0">B3-B2</f>
        <v>1.2735282180000951</v>
      </c>
      <c r="D3" s="10">
        <v>2.06</v>
      </c>
      <c r="E3" s="10">
        <f t="shared" ref="E3:E24" si="1">D2+D3</f>
        <v>2.06</v>
      </c>
      <c r="F3" s="10">
        <f t="shared" ref="F3:F24" si="2">C3*E3/2</f>
        <v>1.3117340645400979</v>
      </c>
      <c r="G3" s="10">
        <f t="shared" ref="G3:G24" si="3">B3*D3</f>
        <v>-190.55</v>
      </c>
      <c r="H3" s="10">
        <f t="shared" ref="H3:H24" si="4">G2+G3</f>
        <v>-190.55</v>
      </c>
      <c r="I3" s="10">
        <f t="shared" ref="I3:I24" si="5">C3*H3/2</f>
        <v>-121.33540096995907</v>
      </c>
      <c r="J3" s="10">
        <f t="shared" ref="J3:J24" si="6">D3^3</f>
        <v>8.741816</v>
      </c>
      <c r="K3" s="10">
        <f t="shared" ref="K3:K24" si="7">J2+J3</f>
        <v>8.741816</v>
      </c>
      <c r="L3" s="10">
        <f t="shared" ref="L3:L24" si="8">C3*K3/2</f>
        <v>5.5664746762823594</v>
      </c>
      <c r="M3" s="10">
        <f>B3^2*D3</f>
        <v>17625.875</v>
      </c>
      <c r="N3" s="10">
        <f t="shared" ref="N3:N24" si="9">M2+M3</f>
        <v>17625.875</v>
      </c>
      <c r="O3" s="18">
        <f t="shared" ref="O3:O24" si="10">C3*N3/2</f>
        <v>11223.524589721213</v>
      </c>
      <c r="P3" s="4"/>
    </row>
    <row r="4" spans="1:16" ht="15.75" thickBot="1" x14ac:dyDescent="0.3">
      <c r="A4" s="30">
        <v>1</v>
      </c>
      <c r="B4" s="9">
        <v>-83.25</v>
      </c>
      <c r="C4" s="10">
        <f t="shared" si="0"/>
        <v>9.25</v>
      </c>
      <c r="D4" s="10">
        <v>9.24</v>
      </c>
      <c r="E4" s="10">
        <f t="shared" si="1"/>
        <v>11.3</v>
      </c>
      <c r="F4" s="10">
        <f t="shared" si="2"/>
        <v>52.262500000000003</v>
      </c>
      <c r="G4" s="10">
        <f t="shared" si="3"/>
        <v>-769.23</v>
      </c>
      <c r="H4" s="10">
        <f t="shared" si="4"/>
        <v>-959.78</v>
      </c>
      <c r="I4" s="10">
        <f t="shared" si="5"/>
        <v>-4438.9825000000001</v>
      </c>
      <c r="J4" s="10">
        <f t="shared" si="6"/>
        <v>788.88902400000006</v>
      </c>
      <c r="K4" s="10">
        <f t="shared" si="7"/>
        <v>797.63084000000003</v>
      </c>
      <c r="L4" s="10">
        <f t="shared" si="8"/>
        <v>3689.0426350000002</v>
      </c>
      <c r="M4" s="10">
        <f t="shared" ref="M4:M24" si="11">B4^2*D4</f>
        <v>64038.397499999999</v>
      </c>
      <c r="N4" s="10">
        <f t="shared" si="9"/>
        <v>81664.272499999992</v>
      </c>
      <c r="O4" s="18">
        <f t="shared" si="10"/>
        <v>377697.26031249994</v>
      </c>
      <c r="P4" s="4"/>
    </row>
    <row r="5" spans="1:16" ht="15.75" thickBot="1" x14ac:dyDescent="0.3">
      <c r="A5" s="30">
        <v>2</v>
      </c>
      <c r="B5" s="9">
        <v>-74</v>
      </c>
      <c r="C5" s="10">
        <f t="shared" si="0"/>
        <v>9.25</v>
      </c>
      <c r="D5" s="10">
        <v>12.5</v>
      </c>
      <c r="E5" s="10">
        <f t="shared" si="1"/>
        <v>21.740000000000002</v>
      </c>
      <c r="F5" s="10">
        <f t="shared" si="2"/>
        <v>100.54750000000001</v>
      </c>
      <c r="G5" s="10">
        <f t="shared" si="3"/>
        <v>-925</v>
      </c>
      <c r="H5" s="10">
        <f t="shared" si="4"/>
        <v>-1694.23</v>
      </c>
      <c r="I5" s="10">
        <f t="shared" si="5"/>
        <v>-7835.8137500000003</v>
      </c>
      <c r="J5" s="10">
        <f t="shared" si="6"/>
        <v>1953.125</v>
      </c>
      <c r="K5" s="10">
        <f t="shared" si="7"/>
        <v>2742.0140240000001</v>
      </c>
      <c r="L5" s="10">
        <f t="shared" si="8"/>
        <v>12681.814861000001</v>
      </c>
      <c r="M5" s="10">
        <f t="shared" si="11"/>
        <v>68450</v>
      </c>
      <c r="N5" s="10">
        <f t="shared" si="9"/>
        <v>132488.39749999999</v>
      </c>
      <c r="O5" s="18">
        <f t="shared" si="10"/>
        <v>612758.83843749994</v>
      </c>
      <c r="P5" s="4"/>
    </row>
    <row r="6" spans="1:16" ht="15.75" thickBot="1" x14ac:dyDescent="0.3">
      <c r="A6" s="30">
        <v>3</v>
      </c>
      <c r="B6" s="9">
        <v>-64.75</v>
      </c>
      <c r="C6" s="10">
        <f t="shared" si="0"/>
        <v>9.25</v>
      </c>
      <c r="D6" s="10">
        <v>14.4</v>
      </c>
      <c r="E6" s="10">
        <f t="shared" si="1"/>
        <v>26.9</v>
      </c>
      <c r="F6" s="10">
        <f t="shared" si="2"/>
        <v>124.41249999999999</v>
      </c>
      <c r="G6" s="10">
        <f t="shared" si="3"/>
        <v>-932.4</v>
      </c>
      <c r="H6" s="10">
        <f t="shared" si="4"/>
        <v>-1857.4</v>
      </c>
      <c r="I6" s="10">
        <f t="shared" si="5"/>
        <v>-8590.4750000000004</v>
      </c>
      <c r="J6" s="10">
        <f t="shared" si="6"/>
        <v>2985.9840000000004</v>
      </c>
      <c r="K6" s="10">
        <f t="shared" si="7"/>
        <v>4939.1090000000004</v>
      </c>
      <c r="L6" s="10">
        <f t="shared" si="8"/>
        <v>22843.379125000003</v>
      </c>
      <c r="M6" s="10">
        <f t="shared" si="11"/>
        <v>60372.9</v>
      </c>
      <c r="N6" s="10">
        <f t="shared" si="9"/>
        <v>128822.9</v>
      </c>
      <c r="O6" s="18">
        <f t="shared" si="10"/>
        <v>595805.91249999998</v>
      </c>
      <c r="P6" s="4"/>
    </row>
    <row r="7" spans="1:16" ht="15.75" thickBot="1" x14ac:dyDescent="0.3">
      <c r="A7" s="30">
        <v>4</v>
      </c>
      <c r="B7" s="9">
        <v>-55.5</v>
      </c>
      <c r="C7" s="10">
        <f t="shared" si="0"/>
        <v>9.25</v>
      </c>
      <c r="D7" s="10">
        <v>15.4</v>
      </c>
      <c r="E7" s="10">
        <f t="shared" si="1"/>
        <v>29.8</v>
      </c>
      <c r="F7" s="10">
        <f t="shared" si="2"/>
        <v>137.82500000000002</v>
      </c>
      <c r="G7" s="10">
        <f t="shared" si="3"/>
        <v>-854.7</v>
      </c>
      <c r="H7" s="10">
        <f t="shared" si="4"/>
        <v>-1787.1</v>
      </c>
      <c r="I7" s="10">
        <f t="shared" si="5"/>
        <v>-8265.3374999999996</v>
      </c>
      <c r="J7" s="10">
        <f t="shared" si="6"/>
        <v>3652.2640000000006</v>
      </c>
      <c r="K7" s="10">
        <f t="shared" si="7"/>
        <v>6638.2480000000014</v>
      </c>
      <c r="L7" s="10">
        <f t="shared" si="8"/>
        <v>30701.897000000008</v>
      </c>
      <c r="M7" s="10">
        <f t="shared" si="11"/>
        <v>47435.85</v>
      </c>
      <c r="N7" s="10">
        <f t="shared" si="9"/>
        <v>107808.75</v>
      </c>
      <c r="O7" s="18">
        <f t="shared" si="10"/>
        <v>498615.46875</v>
      </c>
      <c r="P7" s="4"/>
    </row>
    <row r="8" spans="1:16" ht="15.75" thickBot="1" x14ac:dyDescent="0.3">
      <c r="A8" s="30">
        <v>5</v>
      </c>
      <c r="B8" s="9">
        <v>-46.25</v>
      </c>
      <c r="C8" s="10">
        <f t="shared" si="0"/>
        <v>9.25</v>
      </c>
      <c r="D8" s="10">
        <v>15.9</v>
      </c>
      <c r="E8" s="10">
        <f t="shared" si="1"/>
        <v>31.3</v>
      </c>
      <c r="F8" s="10">
        <f t="shared" si="2"/>
        <v>144.76250000000002</v>
      </c>
      <c r="G8" s="10">
        <f t="shared" si="3"/>
        <v>-735.375</v>
      </c>
      <c r="H8" s="10">
        <f t="shared" si="4"/>
        <v>-1590.075</v>
      </c>
      <c r="I8" s="10">
        <f t="shared" si="5"/>
        <v>-7354.0968750000002</v>
      </c>
      <c r="J8" s="10">
        <f t="shared" si="6"/>
        <v>4019.6790000000001</v>
      </c>
      <c r="K8" s="10">
        <f t="shared" si="7"/>
        <v>7671.9430000000011</v>
      </c>
      <c r="L8" s="10">
        <f t="shared" si="8"/>
        <v>35482.736375000008</v>
      </c>
      <c r="M8" s="10">
        <f t="shared" si="11"/>
        <v>34011.09375</v>
      </c>
      <c r="N8" s="10">
        <f t="shared" si="9"/>
        <v>81446.943750000006</v>
      </c>
      <c r="O8" s="18">
        <f t="shared" si="10"/>
        <v>376692.11484375002</v>
      </c>
      <c r="P8" s="4"/>
    </row>
    <row r="9" spans="1:16" ht="15.75" thickBot="1" x14ac:dyDescent="0.3">
      <c r="A9" s="30">
        <v>6</v>
      </c>
      <c r="B9" s="9">
        <v>-37</v>
      </c>
      <c r="C9" s="10">
        <f t="shared" si="0"/>
        <v>9.25</v>
      </c>
      <c r="D9" s="10">
        <v>16</v>
      </c>
      <c r="E9" s="10">
        <f t="shared" si="1"/>
        <v>31.9</v>
      </c>
      <c r="F9" s="10">
        <f t="shared" si="2"/>
        <v>147.53749999999999</v>
      </c>
      <c r="G9" s="10">
        <f t="shared" si="3"/>
        <v>-592</v>
      </c>
      <c r="H9" s="10">
        <f t="shared" si="4"/>
        <v>-1327.375</v>
      </c>
      <c r="I9" s="10">
        <f t="shared" si="5"/>
        <v>-6139.109375</v>
      </c>
      <c r="J9" s="10">
        <f t="shared" si="6"/>
        <v>4096</v>
      </c>
      <c r="K9" s="10">
        <f t="shared" si="7"/>
        <v>8115.6790000000001</v>
      </c>
      <c r="L9" s="10">
        <f t="shared" si="8"/>
        <v>37535.015375000003</v>
      </c>
      <c r="M9" s="10">
        <f t="shared" si="11"/>
        <v>21904</v>
      </c>
      <c r="N9" s="10">
        <f t="shared" si="9"/>
        <v>55915.09375</v>
      </c>
      <c r="O9" s="18">
        <f t="shared" si="10"/>
        <v>258607.30859375</v>
      </c>
      <c r="P9" s="4"/>
    </row>
    <row r="10" spans="1:16" ht="15.75" thickBot="1" x14ac:dyDescent="0.3">
      <c r="A10" s="30">
        <v>7</v>
      </c>
      <c r="B10" s="9">
        <v>-27.75</v>
      </c>
      <c r="C10" s="10">
        <f t="shared" si="0"/>
        <v>9.25</v>
      </c>
      <c r="D10" s="10">
        <v>16</v>
      </c>
      <c r="E10" s="10">
        <f t="shared" si="1"/>
        <v>32</v>
      </c>
      <c r="F10" s="10">
        <f t="shared" si="2"/>
        <v>148</v>
      </c>
      <c r="G10" s="10">
        <f t="shared" si="3"/>
        <v>-444</v>
      </c>
      <c r="H10" s="10">
        <f t="shared" si="4"/>
        <v>-1036</v>
      </c>
      <c r="I10" s="10">
        <f t="shared" si="5"/>
        <v>-4791.5</v>
      </c>
      <c r="J10" s="10">
        <f t="shared" si="6"/>
        <v>4096</v>
      </c>
      <c r="K10" s="10">
        <f t="shared" si="7"/>
        <v>8192</v>
      </c>
      <c r="L10" s="10">
        <f t="shared" si="8"/>
        <v>37888</v>
      </c>
      <c r="M10" s="10">
        <f t="shared" si="11"/>
        <v>12321</v>
      </c>
      <c r="N10" s="10">
        <f t="shared" si="9"/>
        <v>34225</v>
      </c>
      <c r="O10" s="18">
        <f t="shared" si="10"/>
        <v>158290.625</v>
      </c>
      <c r="P10" s="4"/>
    </row>
    <row r="11" spans="1:16" ht="15.75" thickBot="1" x14ac:dyDescent="0.3">
      <c r="A11" s="30">
        <v>8</v>
      </c>
      <c r="B11" s="9">
        <v>-18.5</v>
      </c>
      <c r="C11" s="10">
        <f t="shared" si="0"/>
        <v>9.25</v>
      </c>
      <c r="D11" s="10">
        <v>16</v>
      </c>
      <c r="E11" s="10">
        <f t="shared" si="1"/>
        <v>32</v>
      </c>
      <c r="F11" s="10">
        <f t="shared" si="2"/>
        <v>148</v>
      </c>
      <c r="G11" s="10">
        <f t="shared" si="3"/>
        <v>-296</v>
      </c>
      <c r="H11" s="10">
        <f t="shared" si="4"/>
        <v>-740</v>
      </c>
      <c r="I11" s="10">
        <f t="shared" si="5"/>
        <v>-3422.5</v>
      </c>
      <c r="J11" s="10">
        <f t="shared" si="6"/>
        <v>4096</v>
      </c>
      <c r="K11" s="10">
        <f t="shared" si="7"/>
        <v>8192</v>
      </c>
      <c r="L11" s="10">
        <f t="shared" si="8"/>
        <v>37888</v>
      </c>
      <c r="M11" s="10">
        <f t="shared" si="11"/>
        <v>5476</v>
      </c>
      <c r="N11" s="10">
        <f t="shared" si="9"/>
        <v>17797</v>
      </c>
      <c r="O11" s="18">
        <f t="shared" si="10"/>
        <v>82311.125</v>
      </c>
      <c r="P11" s="4"/>
    </row>
    <row r="12" spans="1:16" ht="15.75" thickBot="1" x14ac:dyDescent="0.3">
      <c r="A12" s="30">
        <v>9</v>
      </c>
      <c r="B12" s="9">
        <v>-9.25</v>
      </c>
      <c r="C12" s="10">
        <f t="shared" si="0"/>
        <v>9.25</v>
      </c>
      <c r="D12" s="10">
        <v>16</v>
      </c>
      <c r="E12" s="10">
        <f t="shared" si="1"/>
        <v>32</v>
      </c>
      <c r="F12" s="10">
        <f t="shared" si="2"/>
        <v>148</v>
      </c>
      <c r="G12" s="10">
        <f t="shared" si="3"/>
        <v>-148</v>
      </c>
      <c r="H12" s="10">
        <f t="shared" si="4"/>
        <v>-444</v>
      </c>
      <c r="I12" s="10">
        <f t="shared" si="5"/>
        <v>-2053.5</v>
      </c>
      <c r="J12" s="10">
        <f t="shared" si="6"/>
        <v>4096</v>
      </c>
      <c r="K12" s="10">
        <f t="shared" si="7"/>
        <v>8192</v>
      </c>
      <c r="L12" s="10">
        <f t="shared" si="8"/>
        <v>37888</v>
      </c>
      <c r="M12" s="10">
        <f t="shared" si="11"/>
        <v>1369</v>
      </c>
      <c r="N12" s="10">
        <f t="shared" si="9"/>
        <v>6845</v>
      </c>
      <c r="O12" s="18">
        <f t="shared" si="10"/>
        <v>31658.125</v>
      </c>
      <c r="P12" s="4"/>
    </row>
    <row r="13" spans="1:16" ht="15.75" thickBot="1" x14ac:dyDescent="0.3">
      <c r="A13" s="30">
        <v>10</v>
      </c>
      <c r="B13" s="9">
        <v>0</v>
      </c>
      <c r="C13" s="10">
        <f t="shared" si="0"/>
        <v>9.25</v>
      </c>
      <c r="D13" s="10">
        <v>16</v>
      </c>
      <c r="E13" s="10">
        <f t="shared" si="1"/>
        <v>32</v>
      </c>
      <c r="F13" s="10">
        <f t="shared" si="2"/>
        <v>148</v>
      </c>
      <c r="G13" s="10">
        <f t="shared" si="3"/>
        <v>0</v>
      </c>
      <c r="H13" s="10">
        <f t="shared" si="4"/>
        <v>-148</v>
      </c>
      <c r="I13" s="10">
        <f t="shared" si="5"/>
        <v>-684.5</v>
      </c>
      <c r="J13" s="10">
        <f t="shared" si="6"/>
        <v>4096</v>
      </c>
      <c r="K13" s="10">
        <f t="shared" si="7"/>
        <v>8192</v>
      </c>
      <c r="L13" s="10">
        <f t="shared" si="8"/>
        <v>37888</v>
      </c>
      <c r="M13" s="10">
        <f t="shared" si="11"/>
        <v>0</v>
      </c>
      <c r="N13" s="10">
        <f t="shared" si="9"/>
        <v>1369</v>
      </c>
      <c r="O13" s="18">
        <f t="shared" si="10"/>
        <v>6331.625</v>
      </c>
      <c r="P13" s="4"/>
    </row>
    <row r="14" spans="1:16" ht="15.75" thickBot="1" x14ac:dyDescent="0.3">
      <c r="A14" s="30">
        <v>11</v>
      </c>
      <c r="B14" s="9">
        <v>9.25</v>
      </c>
      <c r="C14" s="10">
        <f t="shared" si="0"/>
        <v>9.25</v>
      </c>
      <c r="D14" s="10">
        <v>16</v>
      </c>
      <c r="E14" s="10">
        <f t="shared" si="1"/>
        <v>32</v>
      </c>
      <c r="F14" s="10">
        <f t="shared" si="2"/>
        <v>148</v>
      </c>
      <c r="G14" s="10">
        <f t="shared" si="3"/>
        <v>148</v>
      </c>
      <c r="H14" s="10">
        <f t="shared" si="4"/>
        <v>148</v>
      </c>
      <c r="I14" s="10">
        <f t="shared" si="5"/>
        <v>684.5</v>
      </c>
      <c r="J14" s="10">
        <f t="shared" si="6"/>
        <v>4096</v>
      </c>
      <c r="K14" s="10">
        <f t="shared" si="7"/>
        <v>8192</v>
      </c>
      <c r="L14" s="10">
        <f t="shared" si="8"/>
        <v>37888</v>
      </c>
      <c r="M14" s="10">
        <f t="shared" si="11"/>
        <v>1369</v>
      </c>
      <c r="N14" s="10">
        <f t="shared" si="9"/>
        <v>1369</v>
      </c>
      <c r="O14" s="18">
        <f t="shared" si="10"/>
        <v>6331.625</v>
      </c>
      <c r="P14" s="4"/>
    </row>
    <row r="15" spans="1:16" ht="15.75" thickBot="1" x14ac:dyDescent="0.3">
      <c r="A15" s="30">
        <v>12</v>
      </c>
      <c r="B15" s="9">
        <v>18.5</v>
      </c>
      <c r="C15" s="10">
        <f t="shared" si="0"/>
        <v>9.25</v>
      </c>
      <c r="D15" s="10">
        <v>16</v>
      </c>
      <c r="E15" s="10">
        <f t="shared" si="1"/>
        <v>32</v>
      </c>
      <c r="F15" s="10">
        <f t="shared" si="2"/>
        <v>148</v>
      </c>
      <c r="G15" s="10">
        <f t="shared" si="3"/>
        <v>296</v>
      </c>
      <c r="H15" s="10">
        <f t="shared" si="4"/>
        <v>444</v>
      </c>
      <c r="I15" s="10">
        <f t="shared" si="5"/>
        <v>2053.5</v>
      </c>
      <c r="J15" s="10">
        <f t="shared" si="6"/>
        <v>4096</v>
      </c>
      <c r="K15" s="10">
        <f t="shared" si="7"/>
        <v>8192</v>
      </c>
      <c r="L15" s="10">
        <f t="shared" si="8"/>
        <v>37888</v>
      </c>
      <c r="M15" s="10">
        <f t="shared" si="11"/>
        <v>5476</v>
      </c>
      <c r="N15" s="10">
        <f t="shared" si="9"/>
        <v>6845</v>
      </c>
      <c r="O15" s="18">
        <f t="shared" si="10"/>
        <v>31658.125</v>
      </c>
      <c r="P15" s="4"/>
    </row>
    <row r="16" spans="1:16" ht="15.75" thickBot="1" x14ac:dyDescent="0.3">
      <c r="A16" s="30">
        <v>13</v>
      </c>
      <c r="B16" s="9">
        <v>27.75</v>
      </c>
      <c r="C16" s="10">
        <f t="shared" si="0"/>
        <v>9.25</v>
      </c>
      <c r="D16" s="10">
        <v>16</v>
      </c>
      <c r="E16" s="10">
        <f t="shared" si="1"/>
        <v>32</v>
      </c>
      <c r="F16" s="10">
        <f t="shared" si="2"/>
        <v>148</v>
      </c>
      <c r="G16" s="10">
        <f t="shared" si="3"/>
        <v>444</v>
      </c>
      <c r="H16" s="10">
        <f t="shared" si="4"/>
        <v>740</v>
      </c>
      <c r="I16" s="10">
        <f t="shared" si="5"/>
        <v>3422.5</v>
      </c>
      <c r="J16" s="10">
        <f t="shared" si="6"/>
        <v>4096</v>
      </c>
      <c r="K16" s="10">
        <f t="shared" si="7"/>
        <v>8192</v>
      </c>
      <c r="L16" s="10">
        <f t="shared" si="8"/>
        <v>37888</v>
      </c>
      <c r="M16" s="10">
        <f t="shared" si="11"/>
        <v>12321</v>
      </c>
      <c r="N16" s="10">
        <f t="shared" si="9"/>
        <v>17797</v>
      </c>
      <c r="O16" s="18">
        <f t="shared" si="10"/>
        <v>82311.125</v>
      </c>
      <c r="P16" s="4"/>
    </row>
    <row r="17" spans="1:16" ht="15.75" thickBot="1" x14ac:dyDescent="0.3">
      <c r="A17" s="30">
        <v>14</v>
      </c>
      <c r="B17" s="9">
        <v>37</v>
      </c>
      <c r="C17" s="10">
        <f t="shared" si="0"/>
        <v>9.25</v>
      </c>
      <c r="D17" s="10">
        <v>15.8</v>
      </c>
      <c r="E17" s="10">
        <f t="shared" si="1"/>
        <v>31.8</v>
      </c>
      <c r="F17" s="10">
        <f t="shared" si="2"/>
        <v>147.07500000000002</v>
      </c>
      <c r="G17" s="10">
        <f t="shared" si="3"/>
        <v>584.6</v>
      </c>
      <c r="H17" s="10">
        <f t="shared" si="4"/>
        <v>1028.5999999999999</v>
      </c>
      <c r="I17" s="10">
        <f t="shared" si="5"/>
        <v>4757.2749999999996</v>
      </c>
      <c r="J17" s="10">
        <f t="shared" si="6"/>
        <v>3944.3120000000004</v>
      </c>
      <c r="K17" s="10">
        <f t="shared" si="7"/>
        <v>8040.3119999999999</v>
      </c>
      <c r="L17" s="10">
        <f t="shared" si="8"/>
        <v>37186.442999999999</v>
      </c>
      <c r="M17" s="10">
        <f t="shared" si="11"/>
        <v>21630.2</v>
      </c>
      <c r="N17" s="10">
        <f t="shared" si="9"/>
        <v>33951.199999999997</v>
      </c>
      <c r="O17" s="18">
        <f t="shared" si="10"/>
        <v>157024.29999999999</v>
      </c>
      <c r="P17" s="4"/>
    </row>
    <row r="18" spans="1:16" ht="15.75" thickBot="1" x14ac:dyDescent="0.3">
      <c r="A18" s="30">
        <v>15</v>
      </c>
      <c r="B18" s="9">
        <v>46.25</v>
      </c>
      <c r="C18" s="10">
        <f t="shared" si="0"/>
        <v>9.25</v>
      </c>
      <c r="D18" s="10">
        <v>14.8</v>
      </c>
      <c r="E18" s="10">
        <f t="shared" si="1"/>
        <v>30.6</v>
      </c>
      <c r="F18" s="10">
        <f t="shared" si="2"/>
        <v>141.52500000000001</v>
      </c>
      <c r="G18" s="10">
        <f t="shared" si="3"/>
        <v>684.5</v>
      </c>
      <c r="H18" s="10">
        <f t="shared" si="4"/>
        <v>1269.0999999999999</v>
      </c>
      <c r="I18" s="10">
        <f t="shared" si="5"/>
        <v>5869.5874999999996</v>
      </c>
      <c r="J18" s="10">
        <f t="shared" si="6"/>
        <v>3241.7920000000004</v>
      </c>
      <c r="K18" s="10">
        <f t="shared" si="7"/>
        <v>7186.1040000000012</v>
      </c>
      <c r="L18" s="10">
        <f t="shared" si="8"/>
        <v>33235.731000000007</v>
      </c>
      <c r="M18" s="10">
        <f t="shared" si="11"/>
        <v>31658.125</v>
      </c>
      <c r="N18" s="10">
        <f t="shared" si="9"/>
        <v>53288.324999999997</v>
      </c>
      <c r="O18" s="18">
        <f t="shared" si="10"/>
        <v>246458.50312499999</v>
      </c>
      <c r="P18" s="4"/>
    </row>
    <row r="19" spans="1:16" ht="15.75" thickBot="1" x14ac:dyDescent="0.3">
      <c r="A19" s="30">
        <v>16</v>
      </c>
      <c r="B19" s="9">
        <v>55.5</v>
      </c>
      <c r="C19" s="10">
        <f t="shared" si="0"/>
        <v>9.25</v>
      </c>
      <c r="D19" s="10">
        <v>12.3</v>
      </c>
      <c r="E19" s="10">
        <f t="shared" si="1"/>
        <v>27.1</v>
      </c>
      <c r="F19" s="10">
        <f t="shared" si="2"/>
        <v>125.33750000000001</v>
      </c>
      <c r="G19" s="10">
        <f t="shared" si="3"/>
        <v>682.65000000000009</v>
      </c>
      <c r="H19" s="10">
        <f t="shared" si="4"/>
        <v>1367.15</v>
      </c>
      <c r="I19" s="10">
        <f t="shared" si="5"/>
        <v>6323.0687500000004</v>
      </c>
      <c r="J19" s="10">
        <f t="shared" si="6"/>
        <v>1860.8670000000004</v>
      </c>
      <c r="K19" s="10">
        <f t="shared" si="7"/>
        <v>5102.6590000000006</v>
      </c>
      <c r="L19" s="10">
        <f t="shared" si="8"/>
        <v>23599.797875000004</v>
      </c>
      <c r="M19" s="10">
        <f t="shared" si="11"/>
        <v>37887.075000000004</v>
      </c>
      <c r="N19" s="10">
        <f t="shared" si="9"/>
        <v>69545.200000000012</v>
      </c>
      <c r="O19" s="18">
        <f t="shared" si="10"/>
        <v>321646.55000000005</v>
      </c>
      <c r="P19" s="4"/>
    </row>
    <row r="20" spans="1:16" ht="15.75" thickBot="1" x14ac:dyDescent="0.3">
      <c r="A20" s="30">
        <v>17</v>
      </c>
      <c r="B20" s="9">
        <v>64.75</v>
      </c>
      <c r="C20" s="10">
        <f t="shared" si="0"/>
        <v>9.25</v>
      </c>
      <c r="D20" s="10">
        <v>8.41</v>
      </c>
      <c r="E20" s="10">
        <f t="shared" si="1"/>
        <v>20.71</v>
      </c>
      <c r="F20" s="10">
        <f t="shared" si="2"/>
        <v>95.783749999999998</v>
      </c>
      <c r="G20" s="10">
        <f t="shared" si="3"/>
        <v>544.54750000000001</v>
      </c>
      <c r="H20" s="10">
        <f t="shared" si="4"/>
        <v>1227.1975000000002</v>
      </c>
      <c r="I20" s="10">
        <f t="shared" si="5"/>
        <v>5675.7884375000012</v>
      </c>
      <c r="J20" s="10">
        <f t="shared" si="6"/>
        <v>594.82332099999996</v>
      </c>
      <c r="K20" s="10">
        <f t="shared" si="7"/>
        <v>2455.6903210000005</v>
      </c>
      <c r="L20" s="10">
        <f t="shared" si="8"/>
        <v>11357.567734625003</v>
      </c>
      <c r="M20" s="10">
        <f t="shared" si="11"/>
        <v>35259.450624999998</v>
      </c>
      <c r="N20" s="10">
        <f t="shared" si="9"/>
        <v>73146.525625000009</v>
      </c>
      <c r="O20" s="18">
        <f t="shared" si="10"/>
        <v>338302.68101562501</v>
      </c>
      <c r="P20" s="4"/>
    </row>
    <row r="21" spans="1:16" ht="15.75" thickBot="1" x14ac:dyDescent="0.3">
      <c r="A21" s="30">
        <v>18</v>
      </c>
      <c r="B21" s="9">
        <v>74</v>
      </c>
      <c r="C21" s="10">
        <f t="shared" si="0"/>
        <v>9.25</v>
      </c>
      <c r="D21" s="10">
        <v>4.6900000000000004</v>
      </c>
      <c r="E21" s="10">
        <f t="shared" si="1"/>
        <v>13.100000000000001</v>
      </c>
      <c r="F21" s="10">
        <f t="shared" si="2"/>
        <v>60.587500000000006</v>
      </c>
      <c r="G21" s="10">
        <f t="shared" si="3"/>
        <v>347.06</v>
      </c>
      <c r="H21" s="10">
        <f t="shared" si="4"/>
        <v>891.60750000000007</v>
      </c>
      <c r="I21" s="10">
        <f t="shared" si="5"/>
        <v>4123.6846875000001</v>
      </c>
      <c r="J21" s="10">
        <f t="shared" si="6"/>
        <v>103.16170900000002</v>
      </c>
      <c r="K21" s="10">
        <f t="shared" si="7"/>
        <v>697.98502999999994</v>
      </c>
      <c r="L21" s="10">
        <f t="shared" si="8"/>
        <v>3228.1807637499996</v>
      </c>
      <c r="M21" s="10">
        <f t="shared" si="11"/>
        <v>25682.440000000002</v>
      </c>
      <c r="N21" s="10">
        <f t="shared" si="9"/>
        <v>60941.890625</v>
      </c>
      <c r="O21" s="18">
        <f t="shared" si="10"/>
        <v>281856.244140625</v>
      </c>
      <c r="P21" s="4"/>
    </row>
    <row r="22" spans="1:16" ht="15.75" thickBot="1" x14ac:dyDescent="0.3">
      <c r="A22" s="30">
        <v>19</v>
      </c>
      <c r="B22" s="9">
        <v>83.25</v>
      </c>
      <c r="C22" s="10">
        <f t="shared" si="0"/>
        <v>9.25</v>
      </c>
      <c r="D22" s="10">
        <v>1.91</v>
      </c>
      <c r="E22" s="10">
        <f t="shared" si="1"/>
        <v>6.6000000000000005</v>
      </c>
      <c r="F22" s="10">
        <f t="shared" si="2"/>
        <v>30.525000000000002</v>
      </c>
      <c r="G22" s="10">
        <f t="shared" si="3"/>
        <v>159.00749999999999</v>
      </c>
      <c r="H22" s="10">
        <f t="shared" si="4"/>
        <v>506.0675</v>
      </c>
      <c r="I22" s="10">
        <f t="shared" si="5"/>
        <v>2340.5621875000002</v>
      </c>
      <c r="J22" s="10">
        <f t="shared" si="6"/>
        <v>6.9678709999999997</v>
      </c>
      <c r="K22" s="10">
        <f t="shared" si="7"/>
        <v>110.12958000000002</v>
      </c>
      <c r="L22" s="10">
        <f t="shared" si="8"/>
        <v>509.34930750000007</v>
      </c>
      <c r="M22" s="10">
        <f t="shared" si="11"/>
        <v>13237.374374999999</v>
      </c>
      <c r="N22" s="10">
        <f t="shared" si="9"/>
        <v>38919.814375000002</v>
      </c>
      <c r="O22" s="18">
        <f t="shared" si="10"/>
        <v>180004.141484375</v>
      </c>
      <c r="P22" s="4"/>
    </row>
    <row r="23" spans="1:16" ht="15.75" thickBot="1" x14ac:dyDescent="0.3">
      <c r="A23" s="30">
        <v>20</v>
      </c>
      <c r="B23" s="9">
        <v>92.5</v>
      </c>
      <c r="C23" s="10">
        <f t="shared" si="0"/>
        <v>9.25</v>
      </c>
      <c r="D23" s="10">
        <v>0</v>
      </c>
      <c r="E23" s="10">
        <f t="shared" si="1"/>
        <v>1.91</v>
      </c>
      <c r="F23" s="10">
        <f t="shared" si="2"/>
        <v>8.8337500000000002</v>
      </c>
      <c r="G23" s="10">
        <f t="shared" si="3"/>
        <v>0</v>
      </c>
      <c r="H23" s="10">
        <f t="shared" si="4"/>
        <v>159.00749999999999</v>
      </c>
      <c r="I23" s="10">
        <f t="shared" si="5"/>
        <v>735.40968750000002</v>
      </c>
      <c r="J23" s="10">
        <f t="shared" si="6"/>
        <v>0</v>
      </c>
      <c r="K23" s="10">
        <f t="shared" si="7"/>
        <v>6.9678709999999997</v>
      </c>
      <c r="L23" s="10">
        <f t="shared" si="8"/>
        <v>32.226403374999997</v>
      </c>
      <c r="M23" s="10">
        <f t="shared" si="11"/>
        <v>0</v>
      </c>
      <c r="N23" s="10">
        <f t="shared" si="9"/>
        <v>13237.374374999999</v>
      </c>
      <c r="O23" s="18">
        <f t="shared" si="10"/>
        <v>61222.856484374999</v>
      </c>
      <c r="P23" s="4"/>
    </row>
    <row r="24" spans="1:16" ht="15.75" thickBot="1" x14ac:dyDescent="0.3">
      <c r="A24" s="30" t="s">
        <v>60</v>
      </c>
      <c r="B24" s="9">
        <v>92.5</v>
      </c>
      <c r="C24" s="10">
        <f t="shared" si="0"/>
        <v>0</v>
      </c>
      <c r="D24" s="10">
        <v>0</v>
      </c>
      <c r="E24" s="10">
        <f t="shared" si="1"/>
        <v>0</v>
      </c>
      <c r="F24" s="10">
        <f t="shared" si="2"/>
        <v>0</v>
      </c>
      <c r="G24" s="10">
        <f t="shared" si="3"/>
        <v>0</v>
      </c>
      <c r="H24" s="10">
        <f t="shared" si="4"/>
        <v>0</v>
      </c>
      <c r="I24" s="10">
        <f t="shared" si="5"/>
        <v>0</v>
      </c>
      <c r="J24" s="10">
        <f t="shared" si="6"/>
        <v>0</v>
      </c>
      <c r="K24" s="10">
        <f t="shared" si="7"/>
        <v>0</v>
      </c>
      <c r="L24" s="10">
        <f t="shared" si="8"/>
        <v>0</v>
      </c>
      <c r="M24" s="10">
        <f t="shared" si="11"/>
        <v>0</v>
      </c>
      <c r="N24" s="10">
        <f t="shared" si="9"/>
        <v>0</v>
      </c>
      <c r="O24" s="18">
        <f t="shared" si="10"/>
        <v>0</v>
      </c>
      <c r="P24" s="4"/>
    </row>
    <row r="25" spans="1:16" ht="15.75" thickBot="1" x14ac:dyDescent="0.3">
      <c r="A25" s="30" t="s">
        <v>61</v>
      </c>
      <c r="B25" s="14"/>
      <c r="C25" s="34"/>
      <c r="D25" s="34"/>
      <c r="E25" s="34"/>
      <c r="F25" s="34">
        <f>SUM(F3:F24)</f>
        <v>2354.3267340645402</v>
      </c>
      <c r="G25" s="34"/>
      <c r="H25" s="34"/>
      <c r="I25" s="34">
        <f>SUM(I3:I24)</f>
        <v>-17711.274150969963</v>
      </c>
      <c r="J25" s="34"/>
      <c r="K25" s="34"/>
      <c r="L25" s="34">
        <f>SUM(L3:L24)</f>
        <v>517304.74792992626</v>
      </c>
      <c r="M25" s="34"/>
      <c r="N25" s="34"/>
      <c r="O25" s="20">
        <f>C25*N25/2+SUM(O3:O24)</f>
        <v>4716808.0792772211</v>
      </c>
      <c r="P25" s="4"/>
    </row>
    <row r="26" spans="1:16" x14ac:dyDescent="0.25">
      <c r="A26" s="5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</row>
    <row r="27" spans="1:1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</row>
    <row r="28" spans="1:16" ht="15.75" thickBot="1" x14ac:dyDescent="0.3">
      <c r="A28" s="30" t="s">
        <v>11</v>
      </c>
      <c r="B28" s="21">
        <f>2*F25</f>
        <v>4708.6534681290805</v>
      </c>
      <c r="C28" s="2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</row>
    <row r="29" spans="1:16" ht="15.75" thickBot="1" x14ac:dyDescent="0.3">
      <c r="A29" s="30" t="s">
        <v>63</v>
      </c>
      <c r="B29" s="24">
        <f>2*I25</f>
        <v>-35422.548301939925</v>
      </c>
      <c r="C29" s="26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</row>
    <row r="30" spans="1:16" ht="15.75" thickBot="1" x14ac:dyDescent="0.3">
      <c r="A30" s="30" t="s">
        <v>15</v>
      </c>
      <c r="B30" s="24">
        <f>B29/B28</f>
        <v>-7.5228615870121773</v>
      </c>
      <c r="C30" s="26" t="s">
        <v>19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</row>
    <row r="31" spans="1:16" ht="15.75" thickBot="1" x14ac:dyDescent="0.3">
      <c r="A31" s="30" t="s">
        <v>16</v>
      </c>
      <c r="B31" s="24">
        <f>2/3*L25</f>
        <v>344869.83195328416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</row>
    <row r="32" spans="1:16" ht="15.75" thickBot="1" x14ac:dyDescent="0.3">
      <c r="A32" s="30" t="s">
        <v>17</v>
      </c>
      <c r="B32" s="24">
        <f>2*O25</f>
        <v>9433616.1585544422</v>
      </c>
      <c r="C32" s="26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"/>
    </row>
    <row r="33" spans="1:16" ht="15.75" thickBot="1" x14ac:dyDescent="0.3">
      <c r="A33" s="30" t="s">
        <v>18</v>
      </c>
      <c r="B33" s="27">
        <f>B32-(B30)^2*B28</f>
        <v>9167137.230619695</v>
      </c>
      <c r="C33" s="29" t="s">
        <v>65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9BAA-9AC5-4B2D-BB31-F6B60EFF72CF}">
  <dimension ref="A1:P35"/>
  <sheetViews>
    <sheetView workbookViewId="0">
      <selection activeCell="P34" sqref="P34"/>
    </sheetView>
  </sheetViews>
  <sheetFormatPr defaultRowHeight="15" x14ac:dyDescent="0.25"/>
  <cols>
    <col min="1" max="1" width="9.28515625" style="35" bestFit="1" customWidth="1"/>
    <col min="2" max="2" width="9.7109375" style="35" customWidth="1"/>
    <col min="3" max="15" width="9.28515625" style="35" bestFit="1" customWidth="1"/>
    <col min="16" max="16384" width="9.140625" style="35"/>
  </cols>
  <sheetData>
    <row r="1" spans="1:16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  <c r="P1" s="4"/>
    </row>
    <row r="2" spans="1:16" ht="15.75" thickBot="1" x14ac:dyDescent="0.3">
      <c r="A2" s="30" t="s">
        <v>59</v>
      </c>
      <c r="B2" s="49">
        <v>-96.676000117999905</v>
      </c>
      <c r="C2" s="51" t="s">
        <v>9</v>
      </c>
      <c r="D2" s="51">
        <v>5.42</v>
      </c>
      <c r="E2" s="51" t="s">
        <v>9</v>
      </c>
      <c r="F2" s="51" t="s">
        <v>9</v>
      </c>
      <c r="G2" s="51">
        <f t="shared" ref="G2:G24" si="0">B2*D2</f>
        <v>-523.98392063955953</v>
      </c>
      <c r="H2" s="51" t="s">
        <v>9</v>
      </c>
      <c r="I2" s="51">
        <v>0</v>
      </c>
      <c r="J2" s="51">
        <f t="shared" ref="J2:J24" si="1">D2^3</f>
        <v>159.220088</v>
      </c>
      <c r="K2" s="51" t="s">
        <v>9</v>
      </c>
      <c r="L2" s="51" t="s">
        <v>9</v>
      </c>
      <c r="M2" s="51">
        <f t="shared" ref="M2:M24" si="2">B2^2*D2</f>
        <v>50656.669573580104</v>
      </c>
      <c r="N2" s="51" t="s">
        <v>9</v>
      </c>
      <c r="O2" s="43" t="s">
        <v>9</v>
      </c>
      <c r="P2" s="4"/>
    </row>
    <row r="3" spans="1:16" ht="15.75" thickBot="1" x14ac:dyDescent="0.3">
      <c r="A3" s="30">
        <v>0</v>
      </c>
      <c r="B3" s="9">
        <v>-92.5</v>
      </c>
      <c r="C3" s="10">
        <f t="shared" ref="C3:C24" si="3">B3-B2</f>
        <v>4.1760001179999051</v>
      </c>
      <c r="D3" s="10">
        <v>8.6</v>
      </c>
      <c r="E3" s="10">
        <f t="shared" ref="E3:E24" si="4">D2+D3</f>
        <v>14.02</v>
      </c>
      <c r="F3" s="10">
        <f t="shared" ref="F3:F24" si="5">C3*E3/2</f>
        <v>29.273760827179334</v>
      </c>
      <c r="G3" s="10">
        <f t="shared" si="0"/>
        <v>-795.5</v>
      </c>
      <c r="H3" s="10">
        <f t="shared" ref="H3:H24" si="6">G2+G3</f>
        <v>-1319.4839206395595</v>
      </c>
      <c r="I3" s="10">
        <f t="shared" ref="I3:I24" si="7">C3*H3/2</f>
        <v>-2755.0825041448888</v>
      </c>
      <c r="J3" s="10">
        <f t="shared" si="1"/>
        <v>636.05599999999993</v>
      </c>
      <c r="K3" s="10">
        <f t="shared" ref="K3:K24" si="8">J2+J3</f>
        <v>795.27608799999996</v>
      </c>
      <c r="L3" s="10">
        <f t="shared" ref="L3:L24" si="9">C3*K3/2</f>
        <v>1660.5365186652514</v>
      </c>
      <c r="M3" s="10">
        <f t="shared" si="2"/>
        <v>73583.75</v>
      </c>
      <c r="N3" s="10">
        <f t="shared" ref="N3:N24" si="10">M2+M3</f>
        <v>124240.4195735801</v>
      </c>
      <c r="O3" s="18">
        <f t="shared" ref="O3:O24" si="11">C3*N3/2</f>
        <v>259414.00339981413</v>
      </c>
      <c r="P3" s="4"/>
    </row>
    <row r="4" spans="1:16" ht="15.75" thickBot="1" x14ac:dyDescent="0.3">
      <c r="A4" s="30">
        <v>1</v>
      </c>
      <c r="B4" s="9">
        <v>-83.25</v>
      </c>
      <c r="C4" s="10">
        <f t="shared" si="3"/>
        <v>9.25</v>
      </c>
      <c r="D4" s="10">
        <v>12.1</v>
      </c>
      <c r="E4" s="10">
        <f t="shared" si="4"/>
        <v>20.7</v>
      </c>
      <c r="F4" s="10">
        <f t="shared" si="5"/>
        <v>95.737499999999997</v>
      </c>
      <c r="G4" s="10">
        <f t="shared" si="0"/>
        <v>-1007.3249999999999</v>
      </c>
      <c r="H4" s="10">
        <f t="shared" si="6"/>
        <v>-1802.8249999999998</v>
      </c>
      <c r="I4" s="10">
        <f t="shared" si="7"/>
        <v>-8338.0656249999993</v>
      </c>
      <c r="J4" s="10">
        <f t="shared" si="1"/>
        <v>1771.5609999999999</v>
      </c>
      <c r="K4" s="10">
        <f t="shared" si="8"/>
        <v>2407.6169999999997</v>
      </c>
      <c r="L4" s="10">
        <f t="shared" si="9"/>
        <v>11135.228624999998</v>
      </c>
      <c r="M4" s="10">
        <f t="shared" si="2"/>
        <v>83859.806249999994</v>
      </c>
      <c r="N4" s="10">
        <f t="shared" si="10"/>
        <v>157443.55624999999</v>
      </c>
      <c r="O4" s="18">
        <f t="shared" si="11"/>
        <v>728176.44765624998</v>
      </c>
      <c r="P4" s="4"/>
    </row>
    <row r="5" spans="1:16" ht="15.75" thickBot="1" x14ac:dyDescent="0.3">
      <c r="A5" s="30">
        <v>2</v>
      </c>
      <c r="B5" s="9">
        <v>-74</v>
      </c>
      <c r="C5" s="10">
        <f t="shared" si="3"/>
        <v>9.25</v>
      </c>
      <c r="D5" s="10">
        <v>14.1</v>
      </c>
      <c r="E5" s="10">
        <f t="shared" si="4"/>
        <v>26.2</v>
      </c>
      <c r="F5" s="10">
        <f t="shared" si="5"/>
        <v>121.175</v>
      </c>
      <c r="G5" s="10">
        <f t="shared" si="0"/>
        <v>-1043.3999999999999</v>
      </c>
      <c r="H5" s="10">
        <f t="shared" si="6"/>
        <v>-2050.7249999999999</v>
      </c>
      <c r="I5" s="10">
        <f t="shared" si="7"/>
        <v>-9484.6031249999996</v>
      </c>
      <c r="J5" s="10">
        <f t="shared" si="1"/>
        <v>2803.221</v>
      </c>
      <c r="K5" s="10">
        <f t="shared" si="8"/>
        <v>4574.7820000000002</v>
      </c>
      <c r="L5" s="10">
        <f t="shared" si="9"/>
        <v>21158.366750000001</v>
      </c>
      <c r="M5" s="10">
        <f t="shared" si="2"/>
        <v>77211.599999999991</v>
      </c>
      <c r="N5" s="10">
        <f t="shared" si="10"/>
        <v>161071.40625</v>
      </c>
      <c r="O5" s="18">
        <f t="shared" si="11"/>
        <v>744955.25390625</v>
      </c>
      <c r="P5" s="4"/>
    </row>
    <row r="6" spans="1:16" ht="15.75" thickBot="1" x14ac:dyDescent="0.3">
      <c r="A6" s="30">
        <v>3</v>
      </c>
      <c r="B6" s="9">
        <v>-64.75</v>
      </c>
      <c r="C6" s="10">
        <f t="shared" si="3"/>
        <v>9.25</v>
      </c>
      <c r="D6" s="10">
        <v>15.3</v>
      </c>
      <c r="E6" s="10">
        <f t="shared" si="4"/>
        <v>29.4</v>
      </c>
      <c r="F6" s="10">
        <f t="shared" si="5"/>
        <v>135.97499999999999</v>
      </c>
      <c r="G6" s="10">
        <f t="shared" si="0"/>
        <v>-990.67500000000007</v>
      </c>
      <c r="H6" s="10">
        <f t="shared" si="6"/>
        <v>-2034.0749999999998</v>
      </c>
      <c r="I6" s="10">
        <f t="shared" si="7"/>
        <v>-9407.5968749999993</v>
      </c>
      <c r="J6" s="10">
        <f t="shared" si="1"/>
        <v>3581.5770000000007</v>
      </c>
      <c r="K6" s="10">
        <f t="shared" si="8"/>
        <v>6384.7980000000007</v>
      </c>
      <c r="L6" s="10">
        <f t="shared" si="9"/>
        <v>29529.690750000002</v>
      </c>
      <c r="M6" s="10">
        <f t="shared" si="2"/>
        <v>64146.206250000003</v>
      </c>
      <c r="N6" s="10">
        <f t="shared" si="10"/>
        <v>141357.80624999999</v>
      </c>
      <c r="O6" s="18">
        <f t="shared" si="11"/>
        <v>653779.85390624998</v>
      </c>
      <c r="P6" s="4"/>
    </row>
    <row r="7" spans="1:16" ht="15.75" thickBot="1" x14ac:dyDescent="0.3">
      <c r="A7" s="30">
        <v>4</v>
      </c>
      <c r="B7" s="9">
        <v>-55.5</v>
      </c>
      <c r="C7" s="10">
        <f t="shared" si="3"/>
        <v>9.25</v>
      </c>
      <c r="D7" s="10">
        <v>15.8</v>
      </c>
      <c r="E7" s="10">
        <f t="shared" si="4"/>
        <v>31.1</v>
      </c>
      <c r="F7" s="10">
        <f t="shared" si="5"/>
        <v>143.83750000000001</v>
      </c>
      <c r="G7" s="10">
        <f t="shared" si="0"/>
        <v>-876.90000000000009</v>
      </c>
      <c r="H7" s="10">
        <f t="shared" si="6"/>
        <v>-1867.5750000000003</v>
      </c>
      <c r="I7" s="10">
        <f t="shared" si="7"/>
        <v>-8637.5343750000011</v>
      </c>
      <c r="J7" s="10">
        <f t="shared" si="1"/>
        <v>3944.3120000000004</v>
      </c>
      <c r="K7" s="10">
        <f t="shared" si="8"/>
        <v>7525.889000000001</v>
      </c>
      <c r="L7" s="10">
        <f t="shared" si="9"/>
        <v>34807.236625000005</v>
      </c>
      <c r="M7" s="10">
        <f t="shared" si="2"/>
        <v>48667.950000000004</v>
      </c>
      <c r="N7" s="10">
        <f t="shared" si="10"/>
        <v>112814.15625</v>
      </c>
      <c r="O7" s="18">
        <f t="shared" si="11"/>
        <v>521765.47265625</v>
      </c>
      <c r="P7" s="4"/>
    </row>
    <row r="8" spans="1:16" ht="15.75" thickBot="1" x14ac:dyDescent="0.3">
      <c r="A8" s="30">
        <v>5</v>
      </c>
      <c r="B8" s="9">
        <v>-46.25</v>
      </c>
      <c r="C8" s="10">
        <f t="shared" si="3"/>
        <v>9.25</v>
      </c>
      <c r="D8" s="10">
        <v>16</v>
      </c>
      <c r="E8" s="10">
        <f t="shared" si="4"/>
        <v>31.8</v>
      </c>
      <c r="F8" s="10">
        <f t="shared" si="5"/>
        <v>147.07500000000002</v>
      </c>
      <c r="G8" s="10">
        <f t="shared" si="0"/>
        <v>-740</v>
      </c>
      <c r="H8" s="10">
        <f t="shared" si="6"/>
        <v>-1616.9</v>
      </c>
      <c r="I8" s="10">
        <f t="shared" si="7"/>
        <v>-7478.1625000000004</v>
      </c>
      <c r="J8" s="10">
        <f t="shared" si="1"/>
        <v>4096</v>
      </c>
      <c r="K8" s="10">
        <f t="shared" si="8"/>
        <v>8040.3119999999999</v>
      </c>
      <c r="L8" s="10">
        <f t="shared" si="9"/>
        <v>37186.442999999999</v>
      </c>
      <c r="M8" s="10">
        <f t="shared" si="2"/>
        <v>34225</v>
      </c>
      <c r="N8" s="10">
        <f t="shared" si="10"/>
        <v>82892.950000000012</v>
      </c>
      <c r="O8" s="18">
        <f t="shared" si="11"/>
        <v>383379.89375000005</v>
      </c>
      <c r="P8" s="4"/>
    </row>
    <row r="9" spans="1:16" ht="15.75" thickBot="1" x14ac:dyDescent="0.3">
      <c r="A9" s="30">
        <v>6</v>
      </c>
      <c r="B9" s="9">
        <v>-37</v>
      </c>
      <c r="C9" s="10">
        <f t="shared" si="3"/>
        <v>9.25</v>
      </c>
      <c r="D9" s="10">
        <v>16</v>
      </c>
      <c r="E9" s="10">
        <f t="shared" si="4"/>
        <v>32</v>
      </c>
      <c r="F9" s="10">
        <f t="shared" si="5"/>
        <v>148</v>
      </c>
      <c r="G9" s="10">
        <f t="shared" si="0"/>
        <v>-592</v>
      </c>
      <c r="H9" s="10">
        <f t="shared" si="6"/>
        <v>-1332</v>
      </c>
      <c r="I9" s="10">
        <f t="shared" si="7"/>
        <v>-6160.5</v>
      </c>
      <c r="J9" s="10">
        <f t="shared" si="1"/>
        <v>4096</v>
      </c>
      <c r="K9" s="10">
        <f t="shared" si="8"/>
        <v>8192</v>
      </c>
      <c r="L9" s="10">
        <f t="shared" si="9"/>
        <v>37888</v>
      </c>
      <c r="M9" s="10">
        <f t="shared" si="2"/>
        <v>21904</v>
      </c>
      <c r="N9" s="10">
        <f t="shared" si="10"/>
        <v>56129</v>
      </c>
      <c r="O9" s="18">
        <f t="shared" si="11"/>
        <v>259596.625</v>
      </c>
      <c r="P9" s="4"/>
    </row>
    <row r="10" spans="1:16" ht="15.75" thickBot="1" x14ac:dyDescent="0.3">
      <c r="A10" s="30">
        <v>7</v>
      </c>
      <c r="B10" s="9">
        <v>-27.75</v>
      </c>
      <c r="C10" s="10">
        <f t="shared" si="3"/>
        <v>9.25</v>
      </c>
      <c r="D10" s="10">
        <v>16</v>
      </c>
      <c r="E10" s="10">
        <f t="shared" si="4"/>
        <v>32</v>
      </c>
      <c r="F10" s="10">
        <f t="shared" si="5"/>
        <v>148</v>
      </c>
      <c r="G10" s="10">
        <f t="shared" si="0"/>
        <v>-444</v>
      </c>
      <c r="H10" s="10">
        <f t="shared" si="6"/>
        <v>-1036</v>
      </c>
      <c r="I10" s="10">
        <f t="shared" si="7"/>
        <v>-4791.5</v>
      </c>
      <c r="J10" s="10">
        <f t="shared" si="1"/>
        <v>4096</v>
      </c>
      <c r="K10" s="10">
        <f t="shared" si="8"/>
        <v>8192</v>
      </c>
      <c r="L10" s="10">
        <f t="shared" si="9"/>
        <v>37888</v>
      </c>
      <c r="M10" s="10">
        <f t="shared" si="2"/>
        <v>12321</v>
      </c>
      <c r="N10" s="10">
        <f t="shared" si="10"/>
        <v>34225</v>
      </c>
      <c r="O10" s="18">
        <f t="shared" si="11"/>
        <v>158290.625</v>
      </c>
      <c r="P10" s="4"/>
    </row>
    <row r="11" spans="1:16" ht="15.75" thickBot="1" x14ac:dyDescent="0.3">
      <c r="A11" s="30">
        <v>8</v>
      </c>
      <c r="B11" s="9">
        <v>-18.5</v>
      </c>
      <c r="C11" s="10">
        <f t="shared" si="3"/>
        <v>9.25</v>
      </c>
      <c r="D11" s="10">
        <v>16</v>
      </c>
      <c r="E11" s="10">
        <f t="shared" si="4"/>
        <v>32</v>
      </c>
      <c r="F11" s="10">
        <f t="shared" si="5"/>
        <v>148</v>
      </c>
      <c r="G11" s="10">
        <f t="shared" si="0"/>
        <v>-296</v>
      </c>
      <c r="H11" s="10">
        <f t="shared" si="6"/>
        <v>-740</v>
      </c>
      <c r="I11" s="10">
        <f t="shared" si="7"/>
        <v>-3422.5</v>
      </c>
      <c r="J11" s="10">
        <f t="shared" si="1"/>
        <v>4096</v>
      </c>
      <c r="K11" s="10">
        <f t="shared" si="8"/>
        <v>8192</v>
      </c>
      <c r="L11" s="10">
        <f t="shared" si="9"/>
        <v>37888</v>
      </c>
      <c r="M11" s="10">
        <f t="shared" si="2"/>
        <v>5476</v>
      </c>
      <c r="N11" s="10">
        <f t="shared" si="10"/>
        <v>17797</v>
      </c>
      <c r="O11" s="18">
        <f t="shared" si="11"/>
        <v>82311.125</v>
      </c>
      <c r="P11" s="4"/>
    </row>
    <row r="12" spans="1:16" ht="15.75" thickBot="1" x14ac:dyDescent="0.3">
      <c r="A12" s="30">
        <v>9</v>
      </c>
      <c r="B12" s="9">
        <v>-9.25</v>
      </c>
      <c r="C12" s="10">
        <f t="shared" si="3"/>
        <v>9.25</v>
      </c>
      <c r="D12" s="10">
        <v>16</v>
      </c>
      <c r="E12" s="10">
        <f t="shared" si="4"/>
        <v>32</v>
      </c>
      <c r="F12" s="10">
        <f t="shared" si="5"/>
        <v>148</v>
      </c>
      <c r="G12" s="10">
        <f t="shared" si="0"/>
        <v>-148</v>
      </c>
      <c r="H12" s="10">
        <f t="shared" si="6"/>
        <v>-444</v>
      </c>
      <c r="I12" s="10">
        <f t="shared" si="7"/>
        <v>-2053.5</v>
      </c>
      <c r="J12" s="10">
        <f t="shared" si="1"/>
        <v>4096</v>
      </c>
      <c r="K12" s="10">
        <f t="shared" si="8"/>
        <v>8192</v>
      </c>
      <c r="L12" s="10">
        <f t="shared" si="9"/>
        <v>37888</v>
      </c>
      <c r="M12" s="10">
        <f t="shared" si="2"/>
        <v>1369</v>
      </c>
      <c r="N12" s="10">
        <f t="shared" si="10"/>
        <v>6845</v>
      </c>
      <c r="O12" s="18">
        <f t="shared" si="11"/>
        <v>31658.125</v>
      </c>
      <c r="P12" s="4"/>
    </row>
    <row r="13" spans="1:16" ht="15.75" thickBot="1" x14ac:dyDescent="0.3">
      <c r="A13" s="30">
        <v>10</v>
      </c>
      <c r="B13" s="9">
        <v>0</v>
      </c>
      <c r="C13" s="10">
        <f t="shared" si="3"/>
        <v>9.25</v>
      </c>
      <c r="D13" s="10">
        <v>16</v>
      </c>
      <c r="E13" s="10">
        <f t="shared" si="4"/>
        <v>32</v>
      </c>
      <c r="F13" s="10">
        <f t="shared" si="5"/>
        <v>148</v>
      </c>
      <c r="G13" s="10">
        <f t="shared" si="0"/>
        <v>0</v>
      </c>
      <c r="H13" s="10">
        <f t="shared" si="6"/>
        <v>-148</v>
      </c>
      <c r="I13" s="10">
        <f t="shared" si="7"/>
        <v>-684.5</v>
      </c>
      <c r="J13" s="10">
        <f t="shared" si="1"/>
        <v>4096</v>
      </c>
      <c r="K13" s="10">
        <f t="shared" si="8"/>
        <v>8192</v>
      </c>
      <c r="L13" s="10">
        <f t="shared" si="9"/>
        <v>37888</v>
      </c>
      <c r="M13" s="10">
        <f t="shared" si="2"/>
        <v>0</v>
      </c>
      <c r="N13" s="10">
        <f t="shared" si="10"/>
        <v>1369</v>
      </c>
      <c r="O13" s="18">
        <f t="shared" si="11"/>
        <v>6331.625</v>
      </c>
      <c r="P13" s="4"/>
    </row>
    <row r="14" spans="1:16" ht="15.75" thickBot="1" x14ac:dyDescent="0.3">
      <c r="A14" s="30">
        <v>11</v>
      </c>
      <c r="B14" s="9">
        <v>9.25</v>
      </c>
      <c r="C14" s="10">
        <f t="shared" si="3"/>
        <v>9.25</v>
      </c>
      <c r="D14" s="10">
        <v>16</v>
      </c>
      <c r="E14" s="10">
        <f t="shared" si="4"/>
        <v>32</v>
      </c>
      <c r="F14" s="10">
        <f t="shared" si="5"/>
        <v>148</v>
      </c>
      <c r="G14" s="10">
        <f t="shared" si="0"/>
        <v>148</v>
      </c>
      <c r="H14" s="10">
        <f t="shared" si="6"/>
        <v>148</v>
      </c>
      <c r="I14" s="10">
        <f t="shared" si="7"/>
        <v>684.5</v>
      </c>
      <c r="J14" s="10">
        <f t="shared" si="1"/>
        <v>4096</v>
      </c>
      <c r="K14" s="10">
        <f t="shared" si="8"/>
        <v>8192</v>
      </c>
      <c r="L14" s="10">
        <f t="shared" si="9"/>
        <v>37888</v>
      </c>
      <c r="M14" s="10">
        <f t="shared" si="2"/>
        <v>1369</v>
      </c>
      <c r="N14" s="10">
        <f t="shared" si="10"/>
        <v>1369</v>
      </c>
      <c r="O14" s="18">
        <f t="shared" si="11"/>
        <v>6331.625</v>
      </c>
      <c r="P14" s="4"/>
    </row>
    <row r="15" spans="1:16" ht="15.75" thickBot="1" x14ac:dyDescent="0.3">
      <c r="A15" s="30">
        <v>12</v>
      </c>
      <c r="B15" s="9">
        <v>18.5</v>
      </c>
      <c r="C15" s="10">
        <f t="shared" si="3"/>
        <v>9.25</v>
      </c>
      <c r="D15" s="10">
        <v>16</v>
      </c>
      <c r="E15" s="10">
        <f t="shared" si="4"/>
        <v>32</v>
      </c>
      <c r="F15" s="10">
        <f t="shared" si="5"/>
        <v>148</v>
      </c>
      <c r="G15" s="10">
        <f t="shared" si="0"/>
        <v>296</v>
      </c>
      <c r="H15" s="10">
        <f t="shared" si="6"/>
        <v>444</v>
      </c>
      <c r="I15" s="10">
        <f t="shared" si="7"/>
        <v>2053.5</v>
      </c>
      <c r="J15" s="10">
        <f t="shared" si="1"/>
        <v>4096</v>
      </c>
      <c r="K15" s="10">
        <f t="shared" si="8"/>
        <v>8192</v>
      </c>
      <c r="L15" s="10">
        <f t="shared" si="9"/>
        <v>37888</v>
      </c>
      <c r="M15" s="10">
        <f t="shared" si="2"/>
        <v>5476</v>
      </c>
      <c r="N15" s="10">
        <f t="shared" si="10"/>
        <v>6845</v>
      </c>
      <c r="O15" s="18">
        <f t="shared" si="11"/>
        <v>31658.125</v>
      </c>
      <c r="P15" s="4"/>
    </row>
    <row r="16" spans="1:16" ht="15.75" thickBot="1" x14ac:dyDescent="0.3">
      <c r="A16" s="30">
        <v>13</v>
      </c>
      <c r="B16" s="9">
        <v>27.75</v>
      </c>
      <c r="C16" s="10">
        <f t="shared" si="3"/>
        <v>9.25</v>
      </c>
      <c r="D16" s="10">
        <v>16</v>
      </c>
      <c r="E16" s="10">
        <f t="shared" si="4"/>
        <v>32</v>
      </c>
      <c r="F16" s="10">
        <f t="shared" si="5"/>
        <v>148</v>
      </c>
      <c r="G16" s="10">
        <f t="shared" si="0"/>
        <v>444</v>
      </c>
      <c r="H16" s="10">
        <f t="shared" si="6"/>
        <v>740</v>
      </c>
      <c r="I16" s="10">
        <f t="shared" si="7"/>
        <v>3422.5</v>
      </c>
      <c r="J16" s="10">
        <f t="shared" si="1"/>
        <v>4096</v>
      </c>
      <c r="K16" s="10">
        <f t="shared" si="8"/>
        <v>8192</v>
      </c>
      <c r="L16" s="10">
        <f t="shared" si="9"/>
        <v>37888</v>
      </c>
      <c r="M16" s="10">
        <f t="shared" si="2"/>
        <v>12321</v>
      </c>
      <c r="N16" s="10">
        <f t="shared" si="10"/>
        <v>17797</v>
      </c>
      <c r="O16" s="18">
        <f t="shared" si="11"/>
        <v>82311.125</v>
      </c>
      <c r="P16" s="4"/>
    </row>
    <row r="17" spans="1:16" ht="15.75" thickBot="1" x14ac:dyDescent="0.3">
      <c r="A17" s="30">
        <v>14</v>
      </c>
      <c r="B17" s="9">
        <v>37</v>
      </c>
      <c r="C17" s="10">
        <f t="shared" si="3"/>
        <v>9.25</v>
      </c>
      <c r="D17" s="10">
        <v>15.9</v>
      </c>
      <c r="E17" s="10">
        <f t="shared" si="4"/>
        <v>31.9</v>
      </c>
      <c r="F17" s="10">
        <f t="shared" si="5"/>
        <v>147.53749999999999</v>
      </c>
      <c r="G17" s="10">
        <f t="shared" si="0"/>
        <v>588.30000000000007</v>
      </c>
      <c r="H17" s="10">
        <f t="shared" si="6"/>
        <v>1032.3000000000002</v>
      </c>
      <c r="I17" s="10">
        <f t="shared" si="7"/>
        <v>4774.3875000000007</v>
      </c>
      <c r="J17" s="10">
        <f t="shared" si="1"/>
        <v>4019.6790000000001</v>
      </c>
      <c r="K17" s="10">
        <f t="shared" si="8"/>
        <v>8115.6790000000001</v>
      </c>
      <c r="L17" s="10">
        <f t="shared" si="9"/>
        <v>37535.015375000003</v>
      </c>
      <c r="M17" s="10">
        <f t="shared" si="2"/>
        <v>21767.100000000002</v>
      </c>
      <c r="N17" s="10">
        <f t="shared" si="10"/>
        <v>34088.100000000006</v>
      </c>
      <c r="O17" s="18">
        <f t="shared" si="11"/>
        <v>157657.46250000002</v>
      </c>
      <c r="P17" s="4"/>
    </row>
    <row r="18" spans="1:16" ht="15.75" thickBot="1" x14ac:dyDescent="0.3">
      <c r="A18" s="30">
        <v>15</v>
      </c>
      <c r="B18" s="9">
        <v>46.25</v>
      </c>
      <c r="C18" s="10">
        <f t="shared" si="3"/>
        <v>9.25</v>
      </c>
      <c r="D18" s="10">
        <v>15.3</v>
      </c>
      <c r="E18" s="10">
        <f t="shared" si="4"/>
        <v>31.200000000000003</v>
      </c>
      <c r="F18" s="10">
        <f t="shared" si="5"/>
        <v>144.30000000000001</v>
      </c>
      <c r="G18" s="10">
        <f t="shared" si="0"/>
        <v>707.625</v>
      </c>
      <c r="H18" s="10">
        <f t="shared" si="6"/>
        <v>1295.9250000000002</v>
      </c>
      <c r="I18" s="10">
        <f t="shared" si="7"/>
        <v>5993.6531250000007</v>
      </c>
      <c r="J18" s="10">
        <f t="shared" si="1"/>
        <v>3581.5770000000007</v>
      </c>
      <c r="K18" s="10">
        <f t="shared" si="8"/>
        <v>7601.2560000000012</v>
      </c>
      <c r="L18" s="10">
        <f t="shared" si="9"/>
        <v>35155.809000000008</v>
      </c>
      <c r="M18" s="10">
        <f t="shared" si="2"/>
        <v>32727.65625</v>
      </c>
      <c r="N18" s="10">
        <f t="shared" si="10"/>
        <v>54494.756250000006</v>
      </c>
      <c r="O18" s="18">
        <f t="shared" si="11"/>
        <v>252038.24765625002</v>
      </c>
      <c r="P18" s="4"/>
    </row>
    <row r="19" spans="1:16" ht="15.75" thickBot="1" x14ac:dyDescent="0.3">
      <c r="A19" s="30">
        <v>16</v>
      </c>
      <c r="B19" s="9">
        <v>55.5</v>
      </c>
      <c r="C19" s="10">
        <f t="shared" si="3"/>
        <v>9.25</v>
      </c>
      <c r="D19" s="10">
        <v>13.2</v>
      </c>
      <c r="E19" s="10">
        <f t="shared" si="4"/>
        <v>28.5</v>
      </c>
      <c r="F19" s="10">
        <f t="shared" si="5"/>
        <v>131.8125</v>
      </c>
      <c r="G19" s="10">
        <f t="shared" si="0"/>
        <v>732.59999999999991</v>
      </c>
      <c r="H19" s="10">
        <f t="shared" si="6"/>
        <v>1440.2249999999999</v>
      </c>
      <c r="I19" s="10">
        <f t="shared" si="7"/>
        <v>6661.0406249999996</v>
      </c>
      <c r="J19" s="10">
        <f t="shared" si="1"/>
        <v>2299.9679999999998</v>
      </c>
      <c r="K19" s="10">
        <f t="shared" si="8"/>
        <v>5881.5450000000001</v>
      </c>
      <c r="L19" s="10">
        <f t="shared" si="9"/>
        <v>27202.145625000001</v>
      </c>
      <c r="M19" s="10">
        <f t="shared" si="2"/>
        <v>40659.299999999996</v>
      </c>
      <c r="N19" s="10">
        <f t="shared" si="10"/>
        <v>73386.956249999988</v>
      </c>
      <c r="O19" s="18">
        <f t="shared" si="11"/>
        <v>339414.67265624995</v>
      </c>
      <c r="P19" s="4"/>
    </row>
    <row r="20" spans="1:16" ht="15.75" thickBot="1" x14ac:dyDescent="0.3">
      <c r="A20" s="30">
        <v>17</v>
      </c>
      <c r="B20" s="9">
        <v>64.75</v>
      </c>
      <c r="C20" s="10">
        <f t="shared" si="3"/>
        <v>9.25</v>
      </c>
      <c r="D20" s="10">
        <v>9.52</v>
      </c>
      <c r="E20" s="10">
        <f t="shared" si="4"/>
        <v>22.72</v>
      </c>
      <c r="F20" s="10">
        <f t="shared" si="5"/>
        <v>105.08</v>
      </c>
      <c r="G20" s="10">
        <f t="shared" si="0"/>
        <v>616.41999999999996</v>
      </c>
      <c r="H20" s="10">
        <f t="shared" si="6"/>
        <v>1349.02</v>
      </c>
      <c r="I20" s="10">
        <f t="shared" si="7"/>
        <v>6239.2174999999997</v>
      </c>
      <c r="J20" s="10">
        <f t="shared" si="1"/>
        <v>862.80140799999992</v>
      </c>
      <c r="K20" s="10">
        <f t="shared" si="8"/>
        <v>3162.7694079999997</v>
      </c>
      <c r="L20" s="10">
        <f t="shared" si="9"/>
        <v>14627.808511999998</v>
      </c>
      <c r="M20" s="10">
        <f t="shared" si="2"/>
        <v>39913.195</v>
      </c>
      <c r="N20" s="10">
        <f t="shared" si="10"/>
        <v>80572.494999999995</v>
      </c>
      <c r="O20" s="18">
        <f t="shared" si="11"/>
        <v>372647.78937499999</v>
      </c>
      <c r="P20" s="4"/>
    </row>
    <row r="21" spans="1:16" ht="15.75" thickBot="1" x14ac:dyDescent="0.3">
      <c r="A21" s="30">
        <v>18</v>
      </c>
      <c r="B21" s="9">
        <v>74</v>
      </c>
      <c r="C21" s="10">
        <f t="shared" si="3"/>
        <v>9.25</v>
      </c>
      <c r="D21" s="10">
        <v>5.53</v>
      </c>
      <c r="E21" s="10">
        <f t="shared" si="4"/>
        <v>15.05</v>
      </c>
      <c r="F21" s="10">
        <f t="shared" si="5"/>
        <v>69.606250000000003</v>
      </c>
      <c r="G21" s="10">
        <f t="shared" si="0"/>
        <v>409.22</v>
      </c>
      <c r="H21" s="10">
        <f t="shared" si="6"/>
        <v>1025.6399999999999</v>
      </c>
      <c r="I21" s="10">
        <f t="shared" si="7"/>
        <v>4743.5849999999991</v>
      </c>
      <c r="J21" s="10">
        <f t="shared" si="1"/>
        <v>169.11237700000004</v>
      </c>
      <c r="K21" s="10">
        <f t="shared" si="8"/>
        <v>1031.913785</v>
      </c>
      <c r="L21" s="10">
        <f t="shared" si="9"/>
        <v>4772.6012556249998</v>
      </c>
      <c r="M21" s="10">
        <f t="shared" si="2"/>
        <v>30282.280000000002</v>
      </c>
      <c r="N21" s="10">
        <f t="shared" si="10"/>
        <v>70195.475000000006</v>
      </c>
      <c r="O21" s="18">
        <f t="shared" si="11"/>
        <v>324654.07187500002</v>
      </c>
      <c r="P21" s="4"/>
    </row>
    <row r="22" spans="1:16" ht="15.75" thickBot="1" x14ac:dyDescent="0.3">
      <c r="A22" s="30">
        <v>19</v>
      </c>
      <c r="B22" s="9">
        <v>83.25</v>
      </c>
      <c r="C22" s="10">
        <f t="shared" si="3"/>
        <v>9.25</v>
      </c>
      <c r="D22" s="10">
        <v>2.2999999999999998</v>
      </c>
      <c r="E22" s="10">
        <f t="shared" si="4"/>
        <v>7.83</v>
      </c>
      <c r="F22" s="10">
        <f t="shared" si="5"/>
        <v>36.213749999999997</v>
      </c>
      <c r="G22" s="10">
        <f t="shared" si="0"/>
        <v>191.47499999999999</v>
      </c>
      <c r="H22" s="10">
        <f t="shared" si="6"/>
        <v>600.69500000000005</v>
      </c>
      <c r="I22" s="10">
        <f t="shared" si="7"/>
        <v>2778.214375</v>
      </c>
      <c r="J22" s="10">
        <f t="shared" si="1"/>
        <v>12.166999999999996</v>
      </c>
      <c r="K22" s="10">
        <f t="shared" si="8"/>
        <v>181.27937700000004</v>
      </c>
      <c r="L22" s="10">
        <f t="shared" si="9"/>
        <v>838.41711862500017</v>
      </c>
      <c r="M22" s="10">
        <f t="shared" si="2"/>
        <v>15940.293749999999</v>
      </c>
      <c r="N22" s="10">
        <f t="shared" si="10"/>
        <v>46222.573750000003</v>
      </c>
      <c r="O22" s="18">
        <f t="shared" si="11"/>
        <v>213779.40359375</v>
      </c>
      <c r="P22" s="4"/>
    </row>
    <row r="23" spans="1:16" ht="15.75" thickBot="1" x14ac:dyDescent="0.3">
      <c r="A23" s="30">
        <v>20</v>
      </c>
      <c r="B23" s="9">
        <v>92.5</v>
      </c>
      <c r="C23" s="10">
        <f t="shared" si="3"/>
        <v>9.25</v>
      </c>
      <c r="D23" s="10">
        <v>2.6499999999999999E-2</v>
      </c>
      <c r="E23" s="10">
        <f t="shared" si="4"/>
        <v>2.3264999999999998</v>
      </c>
      <c r="F23" s="10">
        <f t="shared" si="5"/>
        <v>10.760062499999998</v>
      </c>
      <c r="G23" s="10">
        <f t="shared" si="0"/>
        <v>2.4512499999999999</v>
      </c>
      <c r="H23" s="10">
        <f t="shared" si="6"/>
        <v>193.92624999999998</v>
      </c>
      <c r="I23" s="10">
        <f t="shared" si="7"/>
        <v>896.90890624999997</v>
      </c>
      <c r="J23" s="41">
        <f t="shared" si="1"/>
        <v>1.8609624999999997E-5</v>
      </c>
      <c r="K23" s="10">
        <f t="shared" si="8"/>
        <v>12.167018609624996</v>
      </c>
      <c r="L23" s="10">
        <f t="shared" si="9"/>
        <v>56.272461069515607</v>
      </c>
      <c r="M23" s="10">
        <f t="shared" si="2"/>
        <v>226.74062499999999</v>
      </c>
      <c r="N23" s="10">
        <f t="shared" si="10"/>
        <v>16167.034374999999</v>
      </c>
      <c r="O23" s="18">
        <f t="shared" si="11"/>
        <v>74772.533984374997</v>
      </c>
      <c r="P23" s="4"/>
    </row>
    <row r="24" spans="1:16" ht="15.75" thickBot="1" x14ac:dyDescent="0.3">
      <c r="A24" s="30" t="s">
        <v>60</v>
      </c>
      <c r="B24" s="9">
        <v>92.645232183133501</v>
      </c>
      <c r="C24" s="10">
        <f t="shared" si="3"/>
        <v>0.14523218313350128</v>
      </c>
      <c r="D24" s="10">
        <v>0</v>
      </c>
      <c r="E24" s="10">
        <f t="shared" si="4"/>
        <v>2.6499999999999999E-2</v>
      </c>
      <c r="F24" s="10">
        <f t="shared" si="5"/>
        <v>1.9243264265188919E-3</v>
      </c>
      <c r="G24" s="10">
        <f t="shared" si="0"/>
        <v>0</v>
      </c>
      <c r="H24" s="10">
        <f t="shared" si="6"/>
        <v>2.4512499999999999</v>
      </c>
      <c r="I24" s="10">
        <f t="shared" si="7"/>
        <v>0.1780001944529975</v>
      </c>
      <c r="J24" s="10">
        <f t="shared" si="1"/>
        <v>0</v>
      </c>
      <c r="K24" s="41">
        <f t="shared" si="8"/>
        <v>1.8609624999999997E-5</v>
      </c>
      <c r="L24" s="41">
        <f t="shared" si="9"/>
        <v>1.3513582330228916E-6</v>
      </c>
      <c r="M24" s="10">
        <f t="shared" si="2"/>
        <v>0</v>
      </c>
      <c r="N24" s="10">
        <f t="shared" si="10"/>
        <v>226.74062499999999</v>
      </c>
      <c r="O24" s="18">
        <f t="shared" si="11"/>
        <v>16.465017986902268</v>
      </c>
      <c r="P24" s="4"/>
    </row>
    <row r="25" spans="1:16" ht="15.75" thickBot="1" x14ac:dyDescent="0.3">
      <c r="A25" s="30" t="s">
        <v>61</v>
      </c>
      <c r="B25" s="14"/>
      <c r="C25" s="34"/>
      <c r="D25" s="34"/>
      <c r="E25" s="34"/>
      <c r="F25" s="34">
        <f>SUM(F3:F24)</f>
        <v>2502.3857476536054</v>
      </c>
      <c r="G25" s="34"/>
      <c r="H25" s="34"/>
      <c r="I25" s="34">
        <f>SUM(I3:I24)</f>
        <v>-24965.859972700433</v>
      </c>
      <c r="J25" s="34"/>
      <c r="K25" s="34"/>
      <c r="L25" s="34">
        <f>SUM(L3:L24)</f>
        <v>558769.57161733613</v>
      </c>
      <c r="M25" s="34"/>
      <c r="N25" s="34"/>
      <c r="O25" s="20">
        <f>SUM(O3:O24)</f>
        <v>5684940.571933426</v>
      </c>
      <c r="P25" s="4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</row>
    <row r="27" spans="1:1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</row>
    <row r="28" spans="1:16" ht="15.75" thickBot="1" x14ac:dyDescent="0.3">
      <c r="A28" s="30" t="s">
        <v>11</v>
      </c>
      <c r="B28" s="21">
        <f>2*F25</f>
        <v>5004.7714953072109</v>
      </c>
      <c r="C28" s="2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</row>
    <row r="29" spans="1:16" ht="15.75" thickBot="1" x14ac:dyDescent="0.3">
      <c r="A29" s="30" t="s">
        <v>63</v>
      </c>
      <c r="B29" s="24">
        <f>2*I25</f>
        <v>-49931.719945400866</v>
      </c>
      <c r="C29" s="26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</row>
    <row r="30" spans="1:16" ht="15.75" thickBot="1" x14ac:dyDescent="0.3">
      <c r="A30" s="30" t="s">
        <v>15</v>
      </c>
      <c r="B30" s="24">
        <f>B29/B28</f>
        <v>-9.9768231161442618</v>
      </c>
      <c r="C30" s="26" t="s">
        <v>19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</row>
    <row r="31" spans="1:16" ht="15.75" thickBot="1" x14ac:dyDescent="0.3">
      <c r="A31" s="30" t="s">
        <v>16</v>
      </c>
      <c r="B31" s="24">
        <f>2/3*L25</f>
        <v>372513.04774489073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</row>
    <row r="32" spans="1:16" ht="15.75" thickBot="1" x14ac:dyDescent="0.3">
      <c r="A32" s="30" t="s">
        <v>17</v>
      </c>
      <c r="B32" s="24">
        <f>2*O25</f>
        <v>11369881.143866852</v>
      </c>
      <c r="C32" s="26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"/>
    </row>
    <row r="33" spans="1:16" ht="15.75" thickBot="1" x14ac:dyDescent="0.3">
      <c r="A33" s="30" t="s">
        <v>18</v>
      </c>
      <c r="B33" s="27">
        <f>B32-(B30)^2*B28</f>
        <v>10871721.206086734</v>
      </c>
      <c r="C33" s="29" t="s">
        <v>65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6457-E048-480B-B596-381663205680}">
  <dimension ref="A1:O34"/>
  <sheetViews>
    <sheetView workbookViewId="0">
      <selection activeCell="P32" sqref="P32"/>
    </sheetView>
  </sheetViews>
  <sheetFormatPr defaultRowHeight="15" x14ac:dyDescent="0.25"/>
  <cols>
    <col min="1" max="1" width="9.28515625" style="35" bestFit="1" customWidth="1"/>
    <col min="2" max="2" width="9.85546875" style="35" customWidth="1"/>
    <col min="3" max="15" width="9.28515625" style="35" bestFit="1" customWidth="1"/>
    <col min="16" max="16384" width="9.140625" style="35"/>
  </cols>
  <sheetData>
    <row r="1" spans="1:15" ht="17.25" thickBot="1" x14ac:dyDescent="0.3">
      <c r="A1" s="30" t="s">
        <v>13</v>
      </c>
      <c r="B1" s="30" t="s">
        <v>25</v>
      </c>
      <c r="C1" s="30" t="s">
        <v>58</v>
      </c>
      <c r="D1" s="30" t="s">
        <v>3</v>
      </c>
      <c r="E1" s="30" t="s">
        <v>12</v>
      </c>
      <c r="F1" s="30" t="s">
        <v>11</v>
      </c>
      <c r="G1" s="30" t="s">
        <v>20</v>
      </c>
      <c r="H1" s="30" t="s">
        <v>21</v>
      </c>
      <c r="I1" s="30" t="s">
        <v>10</v>
      </c>
      <c r="J1" s="30" t="s">
        <v>90</v>
      </c>
      <c r="K1" s="30" t="s">
        <v>93</v>
      </c>
      <c r="L1" s="30" t="s">
        <v>16</v>
      </c>
      <c r="M1" s="30" t="s">
        <v>91</v>
      </c>
      <c r="N1" s="30" t="s">
        <v>92</v>
      </c>
      <c r="O1" s="30" t="s">
        <v>17</v>
      </c>
    </row>
    <row r="2" spans="1:15" ht="15.75" thickBot="1" x14ac:dyDescent="0.3">
      <c r="A2" s="30" t="s">
        <v>59</v>
      </c>
      <c r="B2" s="49">
        <v>-96.676000117999905</v>
      </c>
      <c r="C2" s="51" t="s">
        <v>9</v>
      </c>
      <c r="D2" s="51">
        <v>10.52</v>
      </c>
      <c r="E2" s="51" t="s">
        <v>9</v>
      </c>
      <c r="F2" s="51" t="s">
        <v>9</v>
      </c>
      <c r="G2" s="51">
        <f t="shared" ref="G2:G24" si="0">B2*D2</f>
        <v>-1017.031521241359</v>
      </c>
      <c r="H2" s="51" t="s">
        <v>9</v>
      </c>
      <c r="I2" s="51">
        <v>0</v>
      </c>
      <c r="J2" s="51">
        <f t="shared" ref="J2:J24" si="1">D2^3</f>
        <v>1164.2526079999998</v>
      </c>
      <c r="K2" s="51" t="s">
        <v>9</v>
      </c>
      <c r="L2" s="51" t="s">
        <v>9</v>
      </c>
      <c r="M2" s="51">
        <f t="shared" ref="M2:M24" si="2">B2^2*D2</f>
        <v>98322.539467539245</v>
      </c>
      <c r="N2" s="51" t="s">
        <v>9</v>
      </c>
      <c r="O2" s="43" t="s">
        <v>9</v>
      </c>
    </row>
    <row r="3" spans="1:15" ht="15.75" thickBot="1" x14ac:dyDescent="0.3">
      <c r="A3" s="30">
        <v>0</v>
      </c>
      <c r="B3" s="9">
        <v>-92.5</v>
      </c>
      <c r="C3" s="10">
        <f t="shared" ref="C3:C24" si="3">B3-B2</f>
        <v>4.1760001179999051</v>
      </c>
      <c r="D3" s="10">
        <v>8.6</v>
      </c>
      <c r="E3" s="10">
        <f t="shared" ref="E3:E24" si="4">D2+D3</f>
        <v>19.119999999999997</v>
      </c>
      <c r="F3" s="10">
        <f t="shared" ref="F3:F24" si="5">C3*E3/2</f>
        <v>39.922561128079089</v>
      </c>
      <c r="G3" s="10">
        <f t="shared" si="0"/>
        <v>-795.5</v>
      </c>
      <c r="H3" s="10">
        <f t="shared" ref="H3:H24" si="6">G2+G3</f>
        <v>-1812.5315212413589</v>
      </c>
      <c r="I3" s="10">
        <f t="shared" ref="I3:I24" si="7">C3*H3/2</f>
        <v>-3784.5659232912312</v>
      </c>
      <c r="J3" s="10">
        <f t="shared" si="1"/>
        <v>636.05599999999993</v>
      </c>
      <c r="K3" s="10">
        <f t="shared" ref="K3:K24" si="8">J2+J3</f>
        <v>1800.3086079999998</v>
      </c>
      <c r="L3" s="10">
        <f t="shared" ref="L3:L24" si="9">C3*K3/2</f>
        <v>3759.0444797221221</v>
      </c>
      <c r="M3" s="10">
        <f t="shared" si="2"/>
        <v>73583.75</v>
      </c>
      <c r="N3" s="10">
        <f t="shared" ref="N3:N24" si="10">M2+M3</f>
        <v>171906.28946753923</v>
      </c>
      <c r="O3" s="18">
        <f t="shared" ref="O3:O24" si="11">C3*N3/2</f>
        <v>358940.34255068481</v>
      </c>
    </row>
    <row r="4" spans="1:15" ht="15.75" thickBot="1" x14ac:dyDescent="0.3">
      <c r="A4" s="30">
        <v>1</v>
      </c>
      <c r="B4" s="9">
        <f t="shared" ref="B4:B23" si="12">B3+9.25</f>
        <v>-83.25</v>
      </c>
      <c r="C4" s="10">
        <f t="shared" si="3"/>
        <v>9.25</v>
      </c>
      <c r="D4" s="10">
        <v>12.1</v>
      </c>
      <c r="E4" s="10">
        <f t="shared" si="4"/>
        <v>20.7</v>
      </c>
      <c r="F4" s="10">
        <f t="shared" si="5"/>
        <v>95.737499999999997</v>
      </c>
      <c r="G4" s="10">
        <f t="shared" si="0"/>
        <v>-1007.3249999999999</v>
      </c>
      <c r="H4" s="10">
        <f t="shared" si="6"/>
        <v>-1802.8249999999998</v>
      </c>
      <c r="I4" s="10">
        <f t="shared" si="7"/>
        <v>-8338.0656249999993</v>
      </c>
      <c r="J4" s="10">
        <f t="shared" si="1"/>
        <v>1771.5609999999999</v>
      </c>
      <c r="K4" s="10">
        <f t="shared" si="8"/>
        <v>2407.6169999999997</v>
      </c>
      <c r="L4" s="10">
        <f t="shared" si="9"/>
        <v>11135.228624999998</v>
      </c>
      <c r="M4" s="10">
        <f t="shared" si="2"/>
        <v>83859.806249999994</v>
      </c>
      <c r="N4" s="10">
        <f t="shared" si="10"/>
        <v>157443.55624999999</v>
      </c>
      <c r="O4" s="18">
        <f t="shared" si="11"/>
        <v>728176.44765624998</v>
      </c>
    </row>
    <row r="5" spans="1:15" ht="15.75" thickBot="1" x14ac:dyDescent="0.3">
      <c r="A5" s="30">
        <v>2</v>
      </c>
      <c r="B5" s="9">
        <f t="shared" si="12"/>
        <v>-74</v>
      </c>
      <c r="C5" s="10">
        <f t="shared" si="3"/>
        <v>9.25</v>
      </c>
      <c r="D5" s="10">
        <v>14.1</v>
      </c>
      <c r="E5" s="10">
        <f t="shared" si="4"/>
        <v>26.2</v>
      </c>
      <c r="F5" s="10">
        <f t="shared" si="5"/>
        <v>121.175</v>
      </c>
      <c r="G5" s="10">
        <f t="shared" si="0"/>
        <v>-1043.3999999999999</v>
      </c>
      <c r="H5" s="10">
        <f t="shared" si="6"/>
        <v>-2050.7249999999999</v>
      </c>
      <c r="I5" s="10">
        <f t="shared" si="7"/>
        <v>-9484.6031249999996</v>
      </c>
      <c r="J5" s="10">
        <f t="shared" si="1"/>
        <v>2803.221</v>
      </c>
      <c r="K5" s="10">
        <f t="shared" si="8"/>
        <v>4574.7820000000002</v>
      </c>
      <c r="L5" s="10">
        <f t="shared" si="9"/>
        <v>21158.366750000001</v>
      </c>
      <c r="M5" s="10">
        <f t="shared" si="2"/>
        <v>77211.599999999991</v>
      </c>
      <c r="N5" s="10">
        <f t="shared" si="10"/>
        <v>161071.40625</v>
      </c>
      <c r="O5" s="18">
        <f t="shared" si="11"/>
        <v>744955.25390625</v>
      </c>
    </row>
    <row r="6" spans="1:15" ht="15.75" thickBot="1" x14ac:dyDescent="0.3">
      <c r="A6" s="30">
        <v>3</v>
      </c>
      <c r="B6" s="9">
        <f t="shared" si="12"/>
        <v>-64.75</v>
      </c>
      <c r="C6" s="10">
        <f t="shared" si="3"/>
        <v>9.25</v>
      </c>
      <c r="D6" s="10">
        <v>15.3</v>
      </c>
      <c r="E6" s="10">
        <f t="shared" si="4"/>
        <v>29.4</v>
      </c>
      <c r="F6" s="10">
        <f t="shared" si="5"/>
        <v>135.97499999999999</v>
      </c>
      <c r="G6" s="10">
        <f t="shared" si="0"/>
        <v>-990.67500000000007</v>
      </c>
      <c r="H6" s="10">
        <f t="shared" si="6"/>
        <v>-2034.0749999999998</v>
      </c>
      <c r="I6" s="10">
        <f t="shared" si="7"/>
        <v>-9407.5968749999993</v>
      </c>
      <c r="J6" s="10">
        <f t="shared" si="1"/>
        <v>3581.5770000000007</v>
      </c>
      <c r="K6" s="10">
        <f t="shared" si="8"/>
        <v>6384.7980000000007</v>
      </c>
      <c r="L6" s="10">
        <f t="shared" si="9"/>
        <v>29529.690750000002</v>
      </c>
      <c r="M6" s="10">
        <f t="shared" si="2"/>
        <v>64146.206250000003</v>
      </c>
      <c r="N6" s="10">
        <f t="shared" si="10"/>
        <v>141357.80624999999</v>
      </c>
      <c r="O6" s="18">
        <f t="shared" si="11"/>
        <v>653779.85390624998</v>
      </c>
    </row>
    <row r="7" spans="1:15" ht="15.75" thickBot="1" x14ac:dyDescent="0.3">
      <c r="A7" s="30">
        <v>4</v>
      </c>
      <c r="B7" s="9">
        <f t="shared" si="12"/>
        <v>-55.5</v>
      </c>
      <c r="C7" s="10">
        <f t="shared" si="3"/>
        <v>9.25</v>
      </c>
      <c r="D7" s="10">
        <v>15.8</v>
      </c>
      <c r="E7" s="10">
        <f t="shared" si="4"/>
        <v>31.1</v>
      </c>
      <c r="F7" s="10">
        <f t="shared" si="5"/>
        <v>143.83750000000001</v>
      </c>
      <c r="G7" s="10">
        <f t="shared" si="0"/>
        <v>-876.90000000000009</v>
      </c>
      <c r="H7" s="10">
        <f t="shared" si="6"/>
        <v>-1867.5750000000003</v>
      </c>
      <c r="I7" s="10">
        <f t="shared" si="7"/>
        <v>-8637.5343750000011</v>
      </c>
      <c r="J7" s="10">
        <f t="shared" si="1"/>
        <v>3944.3120000000004</v>
      </c>
      <c r="K7" s="10">
        <f t="shared" si="8"/>
        <v>7525.889000000001</v>
      </c>
      <c r="L7" s="10">
        <f t="shared" si="9"/>
        <v>34807.236625000005</v>
      </c>
      <c r="M7" s="10">
        <f t="shared" si="2"/>
        <v>48667.950000000004</v>
      </c>
      <c r="N7" s="10">
        <f t="shared" si="10"/>
        <v>112814.15625</v>
      </c>
      <c r="O7" s="18">
        <f t="shared" si="11"/>
        <v>521765.47265625</v>
      </c>
    </row>
    <row r="8" spans="1:15" ht="15.75" thickBot="1" x14ac:dyDescent="0.3">
      <c r="A8" s="30">
        <v>5</v>
      </c>
      <c r="B8" s="9">
        <f t="shared" si="12"/>
        <v>-46.25</v>
      </c>
      <c r="C8" s="10">
        <f t="shared" si="3"/>
        <v>9.25</v>
      </c>
      <c r="D8" s="10">
        <v>16</v>
      </c>
      <c r="E8" s="10">
        <f t="shared" si="4"/>
        <v>31.8</v>
      </c>
      <c r="F8" s="10">
        <f t="shared" si="5"/>
        <v>147.07500000000002</v>
      </c>
      <c r="G8" s="10">
        <f t="shared" si="0"/>
        <v>-740</v>
      </c>
      <c r="H8" s="10">
        <f t="shared" si="6"/>
        <v>-1616.9</v>
      </c>
      <c r="I8" s="10">
        <f t="shared" si="7"/>
        <v>-7478.1625000000004</v>
      </c>
      <c r="J8" s="10">
        <f t="shared" si="1"/>
        <v>4096</v>
      </c>
      <c r="K8" s="10">
        <f t="shared" si="8"/>
        <v>8040.3119999999999</v>
      </c>
      <c r="L8" s="10">
        <f t="shared" si="9"/>
        <v>37186.442999999999</v>
      </c>
      <c r="M8" s="10">
        <f t="shared" si="2"/>
        <v>34225</v>
      </c>
      <c r="N8" s="10">
        <f t="shared" si="10"/>
        <v>82892.950000000012</v>
      </c>
      <c r="O8" s="18">
        <f t="shared" si="11"/>
        <v>383379.89375000005</v>
      </c>
    </row>
    <row r="9" spans="1:15" ht="15.75" thickBot="1" x14ac:dyDescent="0.3">
      <c r="A9" s="30">
        <v>6</v>
      </c>
      <c r="B9" s="9">
        <f t="shared" si="12"/>
        <v>-37</v>
      </c>
      <c r="C9" s="10">
        <f t="shared" si="3"/>
        <v>9.25</v>
      </c>
      <c r="D9" s="10">
        <v>16</v>
      </c>
      <c r="E9" s="10">
        <f t="shared" si="4"/>
        <v>32</v>
      </c>
      <c r="F9" s="10">
        <f t="shared" si="5"/>
        <v>148</v>
      </c>
      <c r="G9" s="10">
        <f t="shared" si="0"/>
        <v>-592</v>
      </c>
      <c r="H9" s="10">
        <f t="shared" si="6"/>
        <v>-1332</v>
      </c>
      <c r="I9" s="10">
        <f t="shared" si="7"/>
        <v>-6160.5</v>
      </c>
      <c r="J9" s="10">
        <f t="shared" si="1"/>
        <v>4096</v>
      </c>
      <c r="K9" s="10">
        <f t="shared" si="8"/>
        <v>8192</v>
      </c>
      <c r="L9" s="10">
        <f t="shared" si="9"/>
        <v>37888</v>
      </c>
      <c r="M9" s="10">
        <f t="shared" si="2"/>
        <v>21904</v>
      </c>
      <c r="N9" s="10">
        <f t="shared" si="10"/>
        <v>56129</v>
      </c>
      <c r="O9" s="18">
        <f t="shared" si="11"/>
        <v>259596.625</v>
      </c>
    </row>
    <row r="10" spans="1:15" ht="15.75" thickBot="1" x14ac:dyDescent="0.3">
      <c r="A10" s="30">
        <v>7</v>
      </c>
      <c r="B10" s="9">
        <f t="shared" si="12"/>
        <v>-27.75</v>
      </c>
      <c r="C10" s="10">
        <f t="shared" si="3"/>
        <v>9.25</v>
      </c>
      <c r="D10" s="10">
        <v>16</v>
      </c>
      <c r="E10" s="10">
        <f t="shared" si="4"/>
        <v>32</v>
      </c>
      <c r="F10" s="10">
        <f t="shared" si="5"/>
        <v>148</v>
      </c>
      <c r="G10" s="10">
        <f t="shared" si="0"/>
        <v>-444</v>
      </c>
      <c r="H10" s="10">
        <f t="shared" si="6"/>
        <v>-1036</v>
      </c>
      <c r="I10" s="10">
        <f t="shared" si="7"/>
        <v>-4791.5</v>
      </c>
      <c r="J10" s="10">
        <f t="shared" si="1"/>
        <v>4096</v>
      </c>
      <c r="K10" s="10">
        <f t="shared" si="8"/>
        <v>8192</v>
      </c>
      <c r="L10" s="10">
        <f t="shared" si="9"/>
        <v>37888</v>
      </c>
      <c r="M10" s="10">
        <f t="shared" si="2"/>
        <v>12321</v>
      </c>
      <c r="N10" s="10">
        <f t="shared" si="10"/>
        <v>34225</v>
      </c>
      <c r="O10" s="18">
        <f t="shared" si="11"/>
        <v>158290.625</v>
      </c>
    </row>
    <row r="11" spans="1:15" ht="15.75" thickBot="1" x14ac:dyDescent="0.3">
      <c r="A11" s="30">
        <v>8</v>
      </c>
      <c r="B11" s="9">
        <f t="shared" si="12"/>
        <v>-18.5</v>
      </c>
      <c r="C11" s="10">
        <f t="shared" si="3"/>
        <v>9.25</v>
      </c>
      <c r="D11" s="10">
        <v>16</v>
      </c>
      <c r="E11" s="10">
        <f t="shared" si="4"/>
        <v>32</v>
      </c>
      <c r="F11" s="10">
        <f t="shared" si="5"/>
        <v>148</v>
      </c>
      <c r="G11" s="10">
        <f t="shared" si="0"/>
        <v>-296</v>
      </c>
      <c r="H11" s="10">
        <f t="shared" si="6"/>
        <v>-740</v>
      </c>
      <c r="I11" s="10">
        <f t="shared" si="7"/>
        <v>-3422.5</v>
      </c>
      <c r="J11" s="10">
        <f t="shared" si="1"/>
        <v>4096</v>
      </c>
      <c r="K11" s="10">
        <f t="shared" si="8"/>
        <v>8192</v>
      </c>
      <c r="L11" s="10">
        <f t="shared" si="9"/>
        <v>37888</v>
      </c>
      <c r="M11" s="10">
        <f t="shared" si="2"/>
        <v>5476</v>
      </c>
      <c r="N11" s="10">
        <f t="shared" si="10"/>
        <v>17797</v>
      </c>
      <c r="O11" s="18">
        <f t="shared" si="11"/>
        <v>82311.125</v>
      </c>
    </row>
    <row r="12" spans="1:15" ht="15.75" thickBot="1" x14ac:dyDescent="0.3">
      <c r="A12" s="30">
        <v>9</v>
      </c>
      <c r="B12" s="9">
        <f t="shared" si="12"/>
        <v>-9.25</v>
      </c>
      <c r="C12" s="10">
        <f t="shared" si="3"/>
        <v>9.25</v>
      </c>
      <c r="D12" s="10">
        <v>16</v>
      </c>
      <c r="E12" s="10">
        <f t="shared" si="4"/>
        <v>32</v>
      </c>
      <c r="F12" s="10">
        <f t="shared" si="5"/>
        <v>148</v>
      </c>
      <c r="G12" s="10">
        <f t="shared" si="0"/>
        <v>-148</v>
      </c>
      <c r="H12" s="10">
        <f t="shared" si="6"/>
        <v>-444</v>
      </c>
      <c r="I12" s="10">
        <f t="shared" si="7"/>
        <v>-2053.5</v>
      </c>
      <c r="J12" s="10">
        <f t="shared" si="1"/>
        <v>4096</v>
      </c>
      <c r="K12" s="10">
        <f t="shared" si="8"/>
        <v>8192</v>
      </c>
      <c r="L12" s="10">
        <f t="shared" si="9"/>
        <v>37888</v>
      </c>
      <c r="M12" s="10">
        <f t="shared" si="2"/>
        <v>1369</v>
      </c>
      <c r="N12" s="10">
        <f t="shared" si="10"/>
        <v>6845</v>
      </c>
      <c r="O12" s="18">
        <f t="shared" si="11"/>
        <v>31658.125</v>
      </c>
    </row>
    <row r="13" spans="1:15" ht="15.75" thickBot="1" x14ac:dyDescent="0.3">
      <c r="A13" s="30">
        <v>10</v>
      </c>
      <c r="B13" s="9">
        <f t="shared" si="12"/>
        <v>0</v>
      </c>
      <c r="C13" s="10">
        <f t="shared" si="3"/>
        <v>9.25</v>
      </c>
      <c r="D13" s="10">
        <v>16</v>
      </c>
      <c r="E13" s="10">
        <f t="shared" si="4"/>
        <v>32</v>
      </c>
      <c r="F13" s="10">
        <f t="shared" si="5"/>
        <v>148</v>
      </c>
      <c r="G13" s="10">
        <f t="shared" si="0"/>
        <v>0</v>
      </c>
      <c r="H13" s="10">
        <f t="shared" si="6"/>
        <v>-148</v>
      </c>
      <c r="I13" s="10">
        <f t="shared" si="7"/>
        <v>-684.5</v>
      </c>
      <c r="J13" s="10">
        <f t="shared" si="1"/>
        <v>4096</v>
      </c>
      <c r="K13" s="10">
        <f t="shared" si="8"/>
        <v>8192</v>
      </c>
      <c r="L13" s="10">
        <f t="shared" si="9"/>
        <v>37888</v>
      </c>
      <c r="M13" s="10">
        <f t="shared" si="2"/>
        <v>0</v>
      </c>
      <c r="N13" s="10">
        <f t="shared" si="10"/>
        <v>1369</v>
      </c>
      <c r="O13" s="18">
        <f t="shared" si="11"/>
        <v>6331.625</v>
      </c>
    </row>
    <row r="14" spans="1:15" ht="15.75" thickBot="1" x14ac:dyDescent="0.3">
      <c r="A14" s="30">
        <v>11</v>
      </c>
      <c r="B14" s="9">
        <f t="shared" si="12"/>
        <v>9.25</v>
      </c>
      <c r="C14" s="10">
        <f t="shared" si="3"/>
        <v>9.25</v>
      </c>
      <c r="D14" s="10">
        <v>16</v>
      </c>
      <c r="E14" s="10">
        <f t="shared" si="4"/>
        <v>32</v>
      </c>
      <c r="F14" s="10">
        <f t="shared" si="5"/>
        <v>148</v>
      </c>
      <c r="G14" s="10">
        <f t="shared" si="0"/>
        <v>148</v>
      </c>
      <c r="H14" s="10">
        <f t="shared" si="6"/>
        <v>148</v>
      </c>
      <c r="I14" s="10">
        <f t="shared" si="7"/>
        <v>684.5</v>
      </c>
      <c r="J14" s="10">
        <f t="shared" si="1"/>
        <v>4096</v>
      </c>
      <c r="K14" s="10">
        <f t="shared" si="8"/>
        <v>8192</v>
      </c>
      <c r="L14" s="10">
        <f t="shared" si="9"/>
        <v>37888</v>
      </c>
      <c r="M14" s="10">
        <f t="shared" si="2"/>
        <v>1369</v>
      </c>
      <c r="N14" s="10">
        <f t="shared" si="10"/>
        <v>1369</v>
      </c>
      <c r="O14" s="18">
        <f t="shared" si="11"/>
        <v>6331.625</v>
      </c>
    </row>
    <row r="15" spans="1:15" ht="15.75" thickBot="1" x14ac:dyDescent="0.3">
      <c r="A15" s="30">
        <v>12</v>
      </c>
      <c r="B15" s="9">
        <f t="shared" si="12"/>
        <v>18.5</v>
      </c>
      <c r="C15" s="10">
        <f t="shared" si="3"/>
        <v>9.25</v>
      </c>
      <c r="D15" s="10">
        <v>16</v>
      </c>
      <c r="E15" s="10">
        <f t="shared" si="4"/>
        <v>32</v>
      </c>
      <c r="F15" s="10">
        <f t="shared" si="5"/>
        <v>148</v>
      </c>
      <c r="G15" s="10">
        <f t="shared" si="0"/>
        <v>296</v>
      </c>
      <c r="H15" s="10">
        <f t="shared" si="6"/>
        <v>444</v>
      </c>
      <c r="I15" s="10">
        <f t="shared" si="7"/>
        <v>2053.5</v>
      </c>
      <c r="J15" s="10">
        <f t="shared" si="1"/>
        <v>4096</v>
      </c>
      <c r="K15" s="10">
        <f t="shared" si="8"/>
        <v>8192</v>
      </c>
      <c r="L15" s="10">
        <f t="shared" si="9"/>
        <v>37888</v>
      </c>
      <c r="M15" s="10">
        <f t="shared" si="2"/>
        <v>5476</v>
      </c>
      <c r="N15" s="10">
        <f t="shared" si="10"/>
        <v>6845</v>
      </c>
      <c r="O15" s="18">
        <f t="shared" si="11"/>
        <v>31658.125</v>
      </c>
    </row>
    <row r="16" spans="1:15" ht="15.75" thickBot="1" x14ac:dyDescent="0.3">
      <c r="A16" s="30">
        <v>13</v>
      </c>
      <c r="B16" s="9">
        <f t="shared" si="12"/>
        <v>27.75</v>
      </c>
      <c r="C16" s="10">
        <f t="shared" si="3"/>
        <v>9.25</v>
      </c>
      <c r="D16" s="10">
        <v>16</v>
      </c>
      <c r="E16" s="10">
        <f t="shared" si="4"/>
        <v>32</v>
      </c>
      <c r="F16" s="10">
        <f t="shared" si="5"/>
        <v>148</v>
      </c>
      <c r="G16" s="10">
        <f t="shared" si="0"/>
        <v>444</v>
      </c>
      <c r="H16" s="10">
        <f t="shared" si="6"/>
        <v>740</v>
      </c>
      <c r="I16" s="10">
        <f t="shared" si="7"/>
        <v>3422.5</v>
      </c>
      <c r="J16" s="10">
        <f t="shared" si="1"/>
        <v>4096</v>
      </c>
      <c r="K16" s="10">
        <f t="shared" si="8"/>
        <v>8192</v>
      </c>
      <c r="L16" s="10">
        <f t="shared" si="9"/>
        <v>37888</v>
      </c>
      <c r="M16" s="10">
        <f t="shared" si="2"/>
        <v>12321</v>
      </c>
      <c r="N16" s="10">
        <f t="shared" si="10"/>
        <v>17797</v>
      </c>
      <c r="O16" s="18">
        <f t="shared" si="11"/>
        <v>82311.125</v>
      </c>
    </row>
    <row r="17" spans="1:15" ht="15.75" thickBot="1" x14ac:dyDescent="0.3">
      <c r="A17" s="30">
        <v>14</v>
      </c>
      <c r="B17" s="9">
        <f t="shared" si="12"/>
        <v>37</v>
      </c>
      <c r="C17" s="10">
        <f t="shared" si="3"/>
        <v>9.25</v>
      </c>
      <c r="D17" s="10">
        <v>15.9</v>
      </c>
      <c r="E17" s="10">
        <f t="shared" si="4"/>
        <v>31.9</v>
      </c>
      <c r="F17" s="10">
        <f t="shared" si="5"/>
        <v>147.53749999999999</v>
      </c>
      <c r="G17" s="10">
        <f t="shared" si="0"/>
        <v>588.30000000000007</v>
      </c>
      <c r="H17" s="10">
        <f t="shared" si="6"/>
        <v>1032.3000000000002</v>
      </c>
      <c r="I17" s="10">
        <f t="shared" si="7"/>
        <v>4774.3875000000007</v>
      </c>
      <c r="J17" s="10">
        <f t="shared" si="1"/>
        <v>4019.6790000000001</v>
      </c>
      <c r="K17" s="10">
        <f t="shared" si="8"/>
        <v>8115.6790000000001</v>
      </c>
      <c r="L17" s="10">
        <f t="shared" si="9"/>
        <v>37535.015375000003</v>
      </c>
      <c r="M17" s="10">
        <f t="shared" si="2"/>
        <v>21767.100000000002</v>
      </c>
      <c r="N17" s="10">
        <f t="shared" si="10"/>
        <v>34088.100000000006</v>
      </c>
      <c r="O17" s="18">
        <f t="shared" si="11"/>
        <v>157657.46250000002</v>
      </c>
    </row>
    <row r="18" spans="1:15" ht="15.75" thickBot="1" x14ac:dyDescent="0.3">
      <c r="A18" s="30">
        <v>15</v>
      </c>
      <c r="B18" s="9">
        <f t="shared" si="12"/>
        <v>46.25</v>
      </c>
      <c r="C18" s="10">
        <f t="shared" si="3"/>
        <v>9.25</v>
      </c>
      <c r="D18" s="10">
        <v>15.3</v>
      </c>
      <c r="E18" s="10">
        <f t="shared" si="4"/>
        <v>31.200000000000003</v>
      </c>
      <c r="F18" s="10">
        <f t="shared" si="5"/>
        <v>144.30000000000001</v>
      </c>
      <c r="G18" s="10">
        <f t="shared" si="0"/>
        <v>707.625</v>
      </c>
      <c r="H18" s="10">
        <f t="shared" si="6"/>
        <v>1295.9250000000002</v>
      </c>
      <c r="I18" s="10">
        <f t="shared" si="7"/>
        <v>5993.6531250000007</v>
      </c>
      <c r="J18" s="10">
        <f t="shared" si="1"/>
        <v>3581.5770000000007</v>
      </c>
      <c r="K18" s="10">
        <f t="shared" si="8"/>
        <v>7601.2560000000012</v>
      </c>
      <c r="L18" s="10">
        <f t="shared" si="9"/>
        <v>35155.809000000008</v>
      </c>
      <c r="M18" s="10">
        <f t="shared" si="2"/>
        <v>32727.65625</v>
      </c>
      <c r="N18" s="10">
        <f t="shared" si="10"/>
        <v>54494.756250000006</v>
      </c>
      <c r="O18" s="18">
        <f t="shared" si="11"/>
        <v>252038.24765625002</v>
      </c>
    </row>
    <row r="19" spans="1:15" ht="15.75" thickBot="1" x14ac:dyDescent="0.3">
      <c r="A19" s="30">
        <v>16</v>
      </c>
      <c r="B19" s="9">
        <f t="shared" si="12"/>
        <v>55.5</v>
      </c>
      <c r="C19" s="10">
        <f t="shared" si="3"/>
        <v>9.25</v>
      </c>
      <c r="D19" s="10">
        <v>13.2</v>
      </c>
      <c r="E19" s="10">
        <f t="shared" si="4"/>
        <v>28.5</v>
      </c>
      <c r="F19" s="10">
        <f t="shared" si="5"/>
        <v>131.8125</v>
      </c>
      <c r="G19" s="10">
        <f t="shared" si="0"/>
        <v>732.59999999999991</v>
      </c>
      <c r="H19" s="10">
        <f t="shared" si="6"/>
        <v>1440.2249999999999</v>
      </c>
      <c r="I19" s="10">
        <f t="shared" si="7"/>
        <v>6661.0406249999996</v>
      </c>
      <c r="J19" s="10">
        <f t="shared" si="1"/>
        <v>2299.9679999999998</v>
      </c>
      <c r="K19" s="10">
        <f t="shared" si="8"/>
        <v>5881.5450000000001</v>
      </c>
      <c r="L19" s="10">
        <f t="shared" si="9"/>
        <v>27202.145625000001</v>
      </c>
      <c r="M19" s="10">
        <f t="shared" si="2"/>
        <v>40659.299999999996</v>
      </c>
      <c r="N19" s="10">
        <f t="shared" si="10"/>
        <v>73386.956249999988</v>
      </c>
      <c r="O19" s="18">
        <f t="shared" si="11"/>
        <v>339414.67265624995</v>
      </c>
    </row>
    <row r="20" spans="1:15" ht="15.75" thickBot="1" x14ac:dyDescent="0.3">
      <c r="A20" s="30">
        <v>17</v>
      </c>
      <c r="B20" s="9">
        <f t="shared" si="12"/>
        <v>64.75</v>
      </c>
      <c r="C20" s="10">
        <f t="shared" si="3"/>
        <v>9.25</v>
      </c>
      <c r="D20" s="10">
        <v>9.52</v>
      </c>
      <c r="E20" s="10">
        <f t="shared" si="4"/>
        <v>22.72</v>
      </c>
      <c r="F20" s="10">
        <f t="shared" si="5"/>
        <v>105.08</v>
      </c>
      <c r="G20" s="10">
        <f t="shared" si="0"/>
        <v>616.41999999999996</v>
      </c>
      <c r="H20" s="10">
        <f t="shared" si="6"/>
        <v>1349.02</v>
      </c>
      <c r="I20" s="10">
        <f t="shared" si="7"/>
        <v>6239.2174999999997</v>
      </c>
      <c r="J20" s="10">
        <f t="shared" si="1"/>
        <v>862.80140799999992</v>
      </c>
      <c r="K20" s="10">
        <f t="shared" si="8"/>
        <v>3162.7694079999997</v>
      </c>
      <c r="L20" s="10">
        <f t="shared" si="9"/>
        <v>14627.808511999998</v>
      </c>
      <c r="M20" s="10">
        <f t="shared" si="2"/>
        <v>39913.195</v>
      </c>
      <c r="N20" s="10">
        <f t="shared" si="10"/>
        <v>80572.494999999995</v>
      </c>
      <c r="O20" s="18">
        <f t="shared" si="11"/>
        <v>372647.78937499999</v>
      </c>
    </row>
    <row r="21" spans="1:15" ht="15.75" thickBot="1" x14ac:dyDescent="0.3">
      <c r="A21" s="30">
        <v>18</v>
      </c>
      <c r="B21" s="9">
        <f t="shared" si="12"/>
        <v>74</v>
      </c>
      <c r="C21" s="10">
        <f t="shared" si="3"/>
        <v>9.25</v>
      </c>
      <c r="D21" s="10">
        <v>5.53</v>
      </c>
      <c r="E21" s="10">
        <f t="shared" si="4"/>
        <v>15.05</v>
      </c>
      <c r="F21" s="10">
        <f t="shared" si="5"/>
        <v>69.606250000000003</v>
      </c>
      <c r="G21" s="10">
        <f t="shared" si="0"/>
        <v>409.22</v>
      </c>
      <c r="H21" s="10">
        <f t="shared" si="6"/>
        <v>1025.6399999999999</v>
      </c>
      <c r="I21" s="10">
        <f t="shared" si="7"/>
        <v>4743.5849999999991</v>
      </c>
      <c r="J21" s="10">
        <f t="shared" si="1"/>
        <v>169.11237700000004</v>
      </c>
      <c r="K21" s="10">
        <f t="shared" si="8"/>
        <v>1031.913785</v>
      </c>
      <c r="L21" s="10">
        <f t="shared" si="9"/>
        <v>4772.6012556249998</v>
      </c>
      <c r="M21" s="10">
        <f t="shared" si="2"/>
        <v>30282.280000000002</v>
      </c>
      <c r="N21" s="10">
        <f t="shared" si="10"/>
        <v>70195.475000000006</v>
      </c>
      <c r="O21" s="18">
        <f t="shared" si="11"/>
        <v>324654.07187500002</v>
      </c>
    </row>
    <row r="22" spans="1:15" ht="15.75" thickBot="1" x14ac:dyDescent="0.3">
      <c r="A22" s="30">
        <v>19</v>
      </c>
      <c r="B22" s="9">
        <f t="shared" si="12"/>
        <v>83.25</v>
      </c>
      <c r="C22" s="10">
        <f t="shared" si="3"/>
        <v>9.25</v>
      </c>
      <c r="D22" s="10">
        <v>2.2999999999999998</v>
      </c>
      <c r="E22" s="10">
        <f t="shared" si="4"/>
        <v>7.83</v>
      </c>
      <c r="F22" s="10">
        <f t="shared" si="5"/>
        <v>36.213749999999997</v>
      </c>
      <c r="G22" s="10">
        <f t="shared" si="0"/>
        <v>191.47499999999999</v>
      </c>
      <c r="H22" s="10">
        <f t="shared" si="6"/>
        <v>600.69500000000005</v>
      </c>
      <c r="I22" s="10">
        <f t="shared" si="7"/>
        <v>2778.214375</v>
      </c>
      <c r="J22" s="10">
        <f t="shared" si="1"/>
        <v>12.166999999999996</v>
      </c>
      <c r="K22" s="10">
        <f t="shared" si="8"/>
        <v>181.27937700000004</v>
      </c>
      <c r="L22" s="10">
        <f t="shared" si="9"/>
        <v>838.41711862500017</v>
      </c>
      <c r="M22" s="10">
        <f t="shared" si="2"/>
        <v>15940.293749999999</v>
      </c>
      <c r="N22" s="10">
        <f t="shared" si="10"/>
        <v>46222.573750000003</v>
      </c>
      <c r="O22" s="18">
        <f t="shared" si="11"/>
        <v>213779.40359375</v>
      </c>
    </row>
    <row r="23" spans="1:15" ht="15.75" thickBot="1" x14ac:dyDescent="0.3">
      <c r="A23" s="30">
        <v>20</v>
      </c>
      <c r="B23" s="9">
        <f t="shared" si="12"/>
        <v>92.5</v>
      </c>
      <c r="C23" s="10">
        <f t="shared" si="3"/>
        <v>9.25</v>
      </c>
      <c r="D23" s="10">
        <v>2.6499999999999999E-2</v>
      </c>
      <c r="E23" s="10">
        <f t="shared" si="4"/>
        <v>2.3264999999999998</v>
      </c>
      <c r="F23" s="10">
        <f t="shared" si="5"/>
        <v>10.760062499999998</v>
      </c>
      <c r="G23" s="10">
        <f t="shared" si="0"/>
        <v>2.4512499999999999</v>
      </c>
      <c r="H23" s="10">
        <f t="shared" si="6"/>
        <v>193.92624999999998</v>
      </c>
      <c r="I23" s="10">
        <f t="shared" si="7"/>
        <v>896.90890624999997</v>
      </c>
      <c r="J23" s="41">
        <f t="shared" si="1"/>
        <v>1.8609624999999997E-5</v>
      </c>
      <c r="K23" s="10">
        <f t="shared" si="8"/>
        <v>12.167018609624996</v>
      </c>
      <c r="L23" s="10">
        <f t="shared" si="9"/>
        <v>56.272461069515607</v>
      </c>
      <c r="M23" s="10">
        <f t="shared" si="2"/>
        <v>226.74062499999999</v>
      </c>
      <c r="N23" s="10">
        <f t="shared" si="10"/>
        <v>16167.034374999999</v>
      </c>
      <c r="O23" s="18">
        <f t="shared" si="11"/>
        <v>74772.533984374997</v>
      </c>
    </row>
    <row r="24" spans="1:15" ht="15.75" thickBot="1" x14ac:dyDescent="0.3">
      <c r="A24" s="30" t="s">
        <v>60</v>
      </c>
      <c r="B24" s="9">
        <v>92.990914310234601</v>
      </c>
      <c r="C24" s="10">
        <f t="shared" si="3"/>
        <v>0.49091431023460075</v>
      </c>
      <c r="D24" s="10">
        <v>0</v>
      </c>
      <c r="E24" s="10">
        <f t="shared" si="4"/>
        <v>2.6499999999999999E-2</v>
      </c>
      <c r="F24" s="10">
        <f t="shared" si="5"/>
        <v>6.5046146106084593E-3</v>
      </c>
      <c r="G24" s="10">
        <f t="shared" si="0"/>
        <v>0</v>
      </c>
      <c r="H24" s="10">
        <f t="shared" si="6"/>
        <v>2.4512499999999999</v>
      </c>
      <c r="I24" s="10">
        <f t="shared" si="7"/>
        <v>0.60167685148128247</v>
      </c>
      <c r="J24" s="10">
        <f t="shared" si="1"/>
        <v>0</v>
      </c>
      <c r="K24" s="41">
        <f t="shared" si="8"/>
        <v>1.8609624999999997E-5</v>
      </c>
      <c r="L24" s="41">
        <f t="shared" si="9"/>
        <v>4.5678656102997907E-6</v>
      </c>
      <c r="M24" s="10">
        <f t="shared" si="2"/>
        <v>0</v>
      </c>
      <c r="N24" s="10">
        <f t="shared" si="10"/>
        <v>226.74062499999999</v>
      </c>
      <c r="O24" s="18">
        <f t="shared" si="11"/>
        <v>55.655108762018635</v>
      </c>
    </row>
    <row r="25" spans="1:15" ht="15.75" thickBot="1" x14ac:dyDescent="0.3">
      <c r="A25" s="30" t="s">
        <v>61</v>
      </c>
      <c r="B25" s="14"/>
      <c r="C25" s="34"/>
      <c r="D25" s="34"/>
      <c r="E25" s="34"/>
      <c r="F25" s="34">
        <f>C25*E25/2+SUM(F3:F24)</f>
        <v>2513.0391282426895</v>
      </c>
      <c r="G25" s="34"/>
      <c r="H25" s="34"/>
      <c r="I25" s="34">
        <f>C25*H25/2+SUM(I3:I24)</f>
        <v>-25994.91971518975</v>
      </c>
      <c r="J25" s="34"/>
      <c r="K25" s="34"/>
      <c r="L25" s="34">
        <f>C25*K25/2+SUM(L3:L24)</f>
        <v>560868.07958160958</v>
      </c>
      <c r="M25" s="34"/>
      <c r="N25" s="34"/>
      <c r="O25" s="20">
        <f>C25*N25/2+SUM(O3:O24)</f>
        <v>5784506.1011750726</v>
      </c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.75" thickBot="1" x14ac:dyDescent="0.3">
      <c r="A28" s="30" t="s">
        <v>11</v>
      </c>
      <c r="B28" s="21">
        <f>2*F25</f>
        <v>5026.0782564853789</v>
      </c>
      <c r="C28" s="2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.75" thickBot="1" x14ac:dyDescent="0.3">
      <c r="A29" s="30" t="s">
        <v>63</v>
      </c>
      <c r="B29" s="24">
        <f>2*I25</f>
        <v>-51989.839430379499</v>
      </c>
      <c r="C29" s="26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.75" thickBot="1" x14ac:dyDescent="0.3">
      <c r="A30" s="30" t="s">
        <v>15</v>
      </c>
      <c r="B30" s="24">
        <f>B29/B28</f>
        <v>-10.344017099871978</v>
      </c>
      <c r="C30" s="26" t="s">
        <v>19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thickBot="1" x14ac:dyDescent="0.3">
      <c r="A31" s="30" t="s">
        <v>16</v>
      </c>
      <c r="B31" s="24">
        <f>2/3*L25</f>
        <v>373912.05305440637</v>
      </c>
      <c r="C31" s="26" t="s">
        <v>65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thickBot="1" x14ac:dyDescent="0.3">
      <c r="A32" s="30" t="s">
        <v>17</v>
      </c>
      <c r="B32" s="24">
        <f>2*O25</f>
        <v>11569012.202350145</v>
      </c>
      <c r="C32" s="26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.75" thickBot="1" x14ac:dyDescent="0.3">
      <c r="A33" s="30" t="s">
        <v>18</v>
      </c>
      <c r="B33" s="27">
        <f>B32-(B30)^2*B28</f>
        <v>11031228.414262701</v>
      </c>
      <c r="C33" s="29" t="s">
        <v>65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4"/>
      <c r="B34" s="4"/>
      <c r="C34" s="4"/>
      <c r="D34" s="4"/>
      <c r="E34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95F1-EEA1-4CF8-895B-4DC2CFFDF764}">
  <dimension ref="A1:Q21"/>
  <sheetViews>
    <sheetView zoomScaleNormal="100" workbookViewId="0">
      <selection activeCell="Q20" sqref="Q20"/>
    </sheetView>
  </sheetViews>
  <sheetFormatPr defaultRowHeight="15" x14ac:dyDescent="0.25"/>
  <cols>
    <col min="1" max="16384" width="9.140625" style="36"/>
  </cols>
  <sheetData>
    <row r="1" spans="1:17" ht="18" thickBot="1" x14ac:dyDescent="0.35">
      <c r="A1" s="5" t="s">
        <v>8</v>
      </c>
      <c r="B1" s="5" t="s">
        <v>54</v>
      </c>
      <c r="C1" s="5" t="s">
        <v>97</v>
      </c>
      <c r="D1" s="5" t="s">
        <v>102</v>
      </c>
      <c r="E1" s="5" t="s">
        <v>101</v>
      </c>
      <c r="F1" s="5" t="s">
        <v>100</v>
      </c>
      <c r="G1" s="5" t="s">
        <v>14</v>
      </c>
      <c r="H1" s="5" t="s">
        <v>99</v>
      </c>
      <c r="I1" s="5" t="s">
        <v>98</v>
      </c>
      <c r="J1" s="5" t="s">
        <v>103</v>
      </c>
      <c r="K1" s="5" t="s">
        <v>104</v>
      </c>
      <c r="L1" s="5" t="s">
        <v>105</v>
      </c>
      <c r="M1" s="5" t="s">
        <v>106</v>
      </c>
      <c r="N1" s="5" t="s">
        <v>107</v>
      </c>
      <c r="O1" s="5" t="s">
        <v>108</v>
      </c>
      <c r="P1" s="5" t="s">
        <v>109</v>
      </c>
      <c r="Q1" s="37"/>
    </row>
    <row r="2" spans="1:17" x14ac:dyDescent="0.25">
      <c r="A2" s="42">
        <v>0</v>
      </c>
      <c r="B2" s="51">
        <v>0</v>
      </c>
      <c r="C2" s="51" t="s">
        <v>9</v>
      </c>
      <c r="D2" s="2">
        <v>1549.9374600000001</v>
      </c>
      <c r="E2" s="51" t="s">
        <v>9</v>
      </c>
      <c r="F2" s="51" t="s">
        <v>9</v>
      </c>
      <c r="G2" s="51">
        <v>0</v>
      </c>
      <c r="H2" s="2">
        <v>2.2007319000000001</v>
      </c>
      <c r="I2" s="51">
        <f>H2*D2</f>
        <v>3410.9968112269744</v>
      </c>
      <c r="J2" s="51" t="s">
        <v>9</v>
      </c>
      <c r="K2" s="51">
        <v>0</v>
      </c>
      <c r="L2" s="51">
        <v>0</v>
      </c>
      <c r="M2" s="51">
        <f t="shared" ref="M2:M13" si="0">B2*D2</f>
        <v>0</v>
      </c>
      <c r="N2" s="51" t="s">
        <v>9</v>
      </c>
      <c r="O2" s="51">
        <v>0</v>
      </c>
      <c r="P2" s="43">
        <f>H2*L2/2</f>
        <v>0</v>
      </c>
      <c r="Q2" s="37"/>
    </row>
    <row r="3" spans="1:17" x14ac:dyDescent="0.25">
      <c r="A3" s="17">
        <v>1</v>
      </c>
      <c r="B3" s="10">
        <v>1</v>
      </c>
      <c r="C3" s="10">
        <f>B3-B2</f>
        <v>1</v>
      </c>
      <c r="D3" s="2">
        <v>2724.9839499999998</v>
      </c>
      <c r="E3" s="10">
        <f>D2+D3</f>
        <v>4274.9214099999999</v>
      </c>
      <c r="F3" s="10">
        <f>E3*C3/2</f>
        <v>2137.460705</v>
      </c>
      <c r="G3" s="10">
        <f>G2+F3</f>
        <v>2137.460705</v>
      </c>
      <c r="H3" s="2">
        <v>1.8691306000000001</v>
      </c>
      <c r="I3" s="10">
        <f t="shared" ref="I3:I13" si="1">H3*D3</f>
        <v>5093.3508854538695</v>
      </c>
      <c r="J3" s="10">
        <f t="shared" ref="J3:J13" si="2">I3+I2</f>
        <v>8504.3476966808448</v>
      </c>
      <c r="K3" s="10">
        <f>J3*C3/2</f>
        <v>4252.1738483404224</v>
      </c>
      <c r="L3" s="10">
        <f>L2+K3</f>
        <v>4252.1738483404224</v>
      </c>
      <c r="M3" s="10">
        <f t="shared" si="0"/>
        <v>2724.9839499999998</v>
      </c>
      <c r="N3" s="10">
        <f>M3+M2</f>
        <v>2724.9839499999998</v>
      </c>
      <c r="O3" s="10">
        <f>N3*C3/2</f>
        <v>1362.4919749999999</v>
      </c>
      <c r="P3" s="18">
        <f>P2+O3/2</f>
        <v>681.24598749999996</v>
      </c>
      <c r="Q3" s="37"/>
    </row>
    <row r="4" spans="1:17" x14ac:dyDescent="0.25">
      <c r="A4" s="17">
        <v>2</v>
      </c>
      <c r="B4" s="10">
        <v>2</v>
      </c>
      <c r="C4" s="10">
        <f t="shared" ref="C4:C12" si="3">B4-B3</f>
        <v>1</v>
      </c>
      <c r="D4" s="2">
        <v>3134.5440899999999</v>
      </c>
      <c r="E4" s="10">
        <f t="shared" ref="E4:E13" si="4">D3+D4</f>
        <v>5859.5280399999992</v>
      </c>
      <c r="F4" s="10">
        <f t="shared" ref="F4:F13" si="5">E4*C4/2</f>
        <v>2929.7640199999996</v>
      </c>
      <c r="G4" s="10">
        <f t="shared" ref="G4:G13" si="6">G3+F4</f>
        <v>5067.224725</v>
      </c>
      <c r="H4" s="2">
        <v>1.8739265000000001</v>
      </c>
      <c r="I4" s="10">
        <f t="shared" si="1"/>
        <v>5873.9052356693846</v>
      </c>
      <c r="J4" s="10">
        <f t="shared" si="2"/>
        <v>10967.256121123253</v>
      </c>
      <c r="K4" s="10">
        <f t="shared" ref="K4:K13" si="7">J4*C4/2</f>
        <v>5483.6280605616266</v>
      </c>
      <c r="L4" s="10">
        <f t="shared" ref="L4:L13" si="8">L3+K4</f>
        <v>9735.801908902049</v>
      </c>
      <c r="M4" s="10">
        <f t="shared" si="0"/>
        <v>6269.0881799999997</v>
      </c>
      <c r="N4" s="10">
        <f t="shared" ref="N4:N13" si="9">M4+M3</f>
        <v>8994.0721300000005</v>
      </c>
      <c r="O4" s="10">
        <f t="shared" ref="O4:O13" si="10">N4*C4/2</f>
        <v>4497.0360650000002</v>
      </c>
      <c r="P4" s="18">
        <f t="shared" ref="P4:P13" si="11">P3+O4/2</f>
        <v>2929.7640200000001</v>
      </c>
      <c r="Q4" s="37"/>
    </row>
    <row r="5" spans="1:17" x14ac:dyDescent="0.25">
      <c r="A5" s="17">
        <v>3</v>
      </c>
      <c r="B5" s="10">
        <v>3</v>
      </c>
      <c r="C5" s="10">
        <f t="shared" si="3"/>
        <v>1</v>
      </c>
      <c r="D5" s="2">
        <v>3414.3618900000001</v>
      </c>
      <c r="E5" s="10">
        <f t="shared" si="4"/>
        <v>6548.9059799999995</v>
      </c>
      <c r="F5" s="10">
        <f t="shared" si="5"/>
        <v>3274.4529899999998</v>
      </c>
      <c r="G5" s="10">
        <f t="shared" si="6"/>
        <v>8341.6777149999998</v>
      </c>
      <c r="H5" s="2">
        <v>1.8562689999999999</v>
      </c>
      <c r="I5" s="10">
        <f t="shared" si="1"/>
        <v>6337.97413118841</v>
      </c>
      <c r="J5" s="10">
        <f t="shared" si="2"/>
        <v>12211.879366857795</v>
      </c>
      <c r="K5" s="10">
        <f t="shared" si="7"/>
        <v>6105.9396834288973</v>
      </c>
      <c r="L5" s="10">
        <f t="shared" si="8"/>
        <v>15841.741592330945</v>
      </c>
      <c r="M5" s="10">
        <f t="shared" si="0"/>
        <v>10243.08567</v>
      </c>
      <c r="N5" s="10">
        <f t="shared" si="9"/>
        <v>16512.173849999999</v>
      </c>
      <c r="O5" s="10">
        <f t="shared" si="10"/>
        <v>8256.0869249999996</v>
      </c>
      <c r="P5" s="18">
        <f t="shared" si="11"/>
        <v>7057.8074825000003</v>
      </c>
      <c r="Q5" s="37"/>
    </row>
    <row r="6" spans="1:17" x14ac:dyDescent="0.25">
      <c r="A6" s="17">
        <v>4</v>
      </c>
      <c r="B6" s="10">
        <v>4</v>
      </c>
      <c r="C6" s="10">
        <f t="shared" si="3"/>
        <v>1</v>
      </c>
      <c r="D6" s="2">
        <v>3627.0432099999998</v>
      </c>
      <c r="E6" s="10">
        <f t="shared" si="4"/>
        <v>7041.4050999999999</v>
      </c>
      <c r="F6" s="10">
        <f t="shared" si="5"/>
        <v>3520.70255</v>
      </c>
      <c r="G6" s="10">
        <f t="shared" si="6"/>
        <v>11862.380265</v>
      </c>
      <c r="H6" s="2">
        <v>1.7301853</v>
      </c>
      <c r="I6" s="10">
        <f t="shared" si="1"/>
        <v>6275.4568444068127</v>
      </c>
      <c r="J6" s="10">
        <f t="shared" si="2"/>
        <v>12613.430975595224</v>
      </c>
      <c r="K6" s="10">
        <f t="shared" si="7"/>
        <v>6306.7154877976118</v>
      </c>
      <c r="L6" s="10">
        <f t="shared" si="8"/>
        <v>22148.457080128559</v>
      </c>
      <c r="M6" s="10">
        <f t="shared" si="0"/>
        <v>14508.172839999999</v>
      </c>
      <c r="N6" s="10">
        <f t="shared" si="9"/>
        <v>24751.25851</v>
      </c>
      <c r="O6" s="10">
        <f t="shared" si="10"/>
        <v>12375.629255</v>
      </c>
      <c r="P6" s="18">
        <f t="shared" si="11"/>
        <v>13245.62211</v>
      </c>
      <c r="Q6" s="37"/>
    </row>
    <row r="7" spans="1:17" x14ac:dyDescent="0.25">
      <c r="A7" s="17">
        <v>5</v>
      </c>
      <c r="B7" s="10">
        <v>5</v>
      </c>
      <c r="C7" s="10">
        <f t="shared" si="3"/>
        <v>1</v>
      </c>
      <c r="D7" s="2">
        <v>3815.61058</v>
      </c>
      <c r="E7" s="10">
        <f t="shared" si="4"/>
        <v>7442.6537900000003</v>
      </c>
      <c r="F7" s="10">
        <f t="shared" si="5"/>
        <v>3721.3268950000001</v>
      </c>
      <c r="G7" s="10">
        <f t="shared" si="6"/>
        <v>15583.70716</v>
      </c>
      <c r="H7" s="2">
        <v>1.1569062000000001</v>
      </c>
      <c r="I7" s="10">
        <f t="shared" si="1"/>
        <v>4414.3035367875964</v>
      </c>
      <c r="J7" s="10">
        <f t="shared" si="2"/>
        <v>10689.76038119441</v>
      </c>
      <c r="K7" s="10">
        <f t="shared" si="7"/>
        <v>5344.880190597205</v>
      </c>
      <c r="L7" s="10">
        <f t="shared" si="8"/>
        <v>27493.337270725766</v>
      </c>
      <c r="M7" s="10">
        <f t="shared" si="0"/>
        <v>19078.052899999999</v>
      </c>
      <c r="N7" s="10">
        <f t="shared" si="9"/>
        <v>33586.225739999994</v>
      </c>
      <c r="O7" s="10">
        <f t="shared" si="10"/>
        <v>16793.112869999997</v>
      </c>
      <c r="P7" s="18">
        <f t="shared" si="11"/>
        <v>21642.178544999999</v>
      </c>
      <c r="Q7" s="37"/>
    </row>
    <row r="8" spans="1:17" x14ac:dyDescent="0.25">
      <c r="A8" s="17">
        <v>6</v>
      </c>
      <c r="B8" s="10">
        <v>6</v>
      </c>
      <c r="C8" s="10">
        <f t="shared" si="3"/>
        <v>1</v>
      </c>
      <c r="D8" s="2">
        <v>4006.2673799999998</v>
      </c>
      <c r="E8" s="10">
        <f t="shared" si="4"/>
        <v>7821.8779599999998</v>
      </c>
      <c r="F8" s="10">
        <f t="shared" si="5"/>
        <v>3910.9389799999999</v>
      </c>
      <c r="G8" s="10">
        <f t="shared" si="6"/>
        <v>19494.646140000001</v>
      </c>
      <c r="H8" s="2">
        <v>9.3913999999999994E-3</v>
      </c>
      <c r="I8" s="10">
        <f t="shared" si="1"/>
        <v>37.624459472531996</v>
      </c>
      <c r="J8" s="10">
        <f t="shared" si="2"/>
        <v>4451.9279962601286</v>
      </c>
      <c r="K8" s="10">
        <f t="shared" si="7"/>
        <v>2225.9639981300643</v>
      </c>
      <c r="L8" s="10">
        <f t="shared" si="8"/>
        <v>29719.30126885583</v>
      </c>
      <c r="M8" s="10">
        <f t="shared" si="0"/>
        <v>24037.60428</v>
      </c>
      <c r="N8" s="10">
        <f t="shared" si="9"/>
        <v>43115.657179999995</v>
      </c>
      <c r="O8" s="10">
        <f t="shared" si="10"/>
        <v>21557.828589999997</v>
      </c>
      <c r="P8" s="18">
        <f t="shared" si="11"/>
        <v>32421.092839999998</v>
      </c>
      <c r="Q8" s="37"/>
    </row>
    <row r="9" spans="1:17" x14ac:dyDescent="0.25">
      <c r="A9" s="17">
        <v>7</v>
      </c>
      <c r="B9" s="10">
        <v>7</v>
      </c>
      <c r="C9" s="10">
        <f t="shared" si="3"/>
        <v>1</v>
      </c>
      <c r="D9" s="2">
        <v>4214.6423800000002</v>
      </c>
      <c r="E9" s="10">
        <f t="shared" si="4"/>
        <v>8220.9097600000005</v>
      </c>
      <c r="F9" s="10">
        <f t="shared" si="5"/>
        <v>4110.4548800000002</v>
      </c>
      <c r="G9" s="10">
        <f t="shared" si="6"/>
        <v>23605.101020000002</v>
      </c>
      <c r="H9" s="2">
        <v>-1.8071018000000001</v>
      </c>
      <c r="I9" s="10">
        <f t="shared" si="1"/>
        <v>-7616.2878312542844</v>
      </c>
      <c r="J9" s="10">
        <f t="shared" si="2"/>
        <v>-7578.6633717817522</v>
      </c>
      <c r="K9" s="10">
        <f t="shared" si="7"/>
        <v>-3789.3316858908761</v>
      </c>
      <c r="L9" s="10">
        <f t="shared" si="8"/>
        <v>25929.969582964954</v>
      </c>
      <c r="M9" s="10">
        <f t="shared" si="0"/>
        <v>29502.496660000001</v>
      </c>
      <c r="N9" s="10">
        <f t="shared" si="9"/>
        <v>53540.100940000004</v>
      </c>
      <c r="O9" s="10">
        <f t="shared" si="10"/>
        <v>26770.050470000002</v>
      </c>
      <c r="P9" s="18">
        <f t="shared" si="11"/>
        <v>45806.118074999998</v>
      </c>
      <c r="Q9" s="37"/>
    </row>
    <row r="10" spans="1:17" x14ac:dyDescent="0.25">
      <c r="A10" s="17">
        <v>8</v>
      </c>
      <c r="B10" s="10">
        <v>8</v>
      </c>
      <c r="C10" s="10">
        <f t="shared" si="3"/>
        <v>1</v>
      </c>
      <c r="D10" s="2">
        <v>4456.9941399999998</v>
      </c>
      <c r="E10" s="10">
        <f t="shared" si="4"/>
        <v>8671.63652</v>
      </c>
      <c r="F10" s="10">
        <f t="shared" si="5"/>
        <v>4335.81826</v>
      </c>
      <c r="G10" s="10">
        <f t="shared" si="6"/>
        <v>27940.919280000002</v>
      </c>
      <c r="H10" s="2">
        <v>-4.4483451000000001</v>
      </c>
      <c r="I10" s="10">
        <f t="shared" si="1"/>
        <v>-19826.248043397714</v>
      </c>
      <c r="J10" s="10">
        <f t="shared" si="2"/>
        <v>-27442.535874652</v>
      </c>
      <c r="K10" s="10">
        <f t="shared" si="7"/>
        <v>-13721.267937326</v>
      </c>
      <c r="L10" s="10">
        <f t="shared" si="8"/>
        <v>12208.701645638954</v>
      </c>
      <c r="M10" s="10">
        <f t="shared" si="0"/>
        <v>35655.953119999998</v>
      </c>
      <c r="N10" s="10">
        <f t="shared" si="9"/>
        <v>65158.449779999995</v>
      </c>
      <c r="O10" s="10">
        <f t="shared" si="10"/>
        <v>32579.224889999998</v>
      </c>
      <c r="P10" s="18">
        <f t="shared" si="11"/>
        <v>62095.730519999997</v>
      </c>
      <c r="Q10" s="37"/>
    </row>
    <row r="11" spans="1:17" x14ac:dyDescent="0.25">
      <c r="A11" s="17">
        <v>9</v>
      </c>
      <c r="B11" s="10">
        <v>9</v>
      </c>
      <c r="C11" s="10">
        <f t="shared" si="3"/>
        <v>1</v>
      </c>
      <c r="D11" s="2">
        <v>4726.9253600000002</v>
      </c>
      <c r="E11" s="10">
        <f t="shared" si="4"/>
        <v>9183.9195</v>
      </c>
      <c r="F11" s="10">
        <f t="shared" si="5"/>
        <v>4591.95975</v>
      </c>
      <c r="G11" s="10">
        <f t="shared" si="6"/>
        <v>32532.879030000004</v>
      </c>
      <c r="H11" s="2">
        <v>-7.7459303000000004</v>
      </c>
      <c r="I11" s="10">
        <f t="shared" si="1"/>
        <v>-36614.434371862408</v>
      </c>
      <c r="J11" s="10">
        <f t="shared" si="2"/>
        <v>-56440.682415260118</v>
      </c>
      <c r="K11" s="10">
        <f t="shared" si="7"/>
        <v>-28220.341207630059</v>
      </c>
      <c r="L11" s="10">
        <f t="shared" si="8"/>
        <v>-16011.639561991105</v>
      </c>
      <c r="M11" s="10">
        <f t="shared" si="0"/>
        <v>42542.328240000003</v>
      </c>
      <c r="N11" s="10">
        <f t="shared" si="9"/>
        <v>78198.281359999994</v>
      </c>
      <c r="O11" s="10">
        <f t="shared" si="10"/>
        <v>39099.140679999997</v>
      </c>
      <c r="P11" s="18">
        <f t="shared" si="11"/>
        <v>81645.300859999988</v>
      </c>
      <c r="Q11" s="37"/>
    </row>
    <row r="12" spans="1:17" x14ac:dyDescent="0.25">
      <c r="A12" s="17">
        <v>10</v>
      </c>
      <c r="B12" s="10">
        <v>10</v>
      </c>
      <c r="C12" s="10">
        <f t="shared" si="3"/>
        <v>1</v>
      </c>
      <c r="D12" s="2">
        <v>5016.27225</v>
      </c>
      <c r="E12" s="10">
        <f t="shared" si="4"/>
        <v>9743.1976099999993</v>
      </c>
      <c r="F12" s="10">
        <f t="shared" si="5"/>
        <v>4871.5988049999996</v>
      </c>
      <c r="G12" s="10">
        <f t="shared" si="6"/>
        <v>37404.477835000005</v>
      </c>
      <c r="H12" s="2">
        <v>-10.0798054</v>
      </c>
      <c r="I12" s="10">
        <f t="shared" si="1"/>
        <v>-50563.048113420147</v>
      </c>
      <c r="J12" s="10">
        <f t="shared" si="2"/>
        <v>-87177.482485282555</v>
      </c>
      <c r="K12" s="10">
        <f t="shared" si="7"/>
        <v>-43588.741242641277</v>
      </c>
      <c r="L12" s="10">
        <f t="shared" si="8"/>
        <v>-59600.380804632383</v>
      </c>
      <c r="M12" s="10">
        <f t="shared" si="0"/>
        <v>50162.722500000003</v>
      </c>
      <c r="N12" s="10">
        <f t="shared" si="9"/>
        <v>92705.050740000006</v>
      </c>
      <c r="O12" s="10">
        <f t="shared" si="10"/>
        <v>46352.525370000003</v>
      </c>
      <c r="P12" s="18">
        <f t="shared" si="11"/>
        <v>104821.56354499998</v>
      </c>
      <c r="Q12" s="37"/>
    </row>
    <row r="13" spans="1:17" ht="15.75" thickBot="1" x14ac:dyDescent="0.3">
      <c r="A13" s="53">
        <v>11</v>
      </c>
      <c r="B13" s="10">
        <v>11</v>
      </c>
      <c r="C13" s="10">
        <v>1</v>
      </c>
      <c r="D13" s="2">
        <v>5224.0565999999999</v>
      </c>
      <c r="E13" s="10">
        <f t="shared" si="4"/>
        <v>10240.32885</v>
      </c>
      <c r="F13" s="10">
        <f t="shared" si="5"/>
        <v>5120.1644249999999</v>
      </c>
      <c r="G13" s="10">
        <f t="shared" si="6"/>
        <v>42524.642260000008</v>
      </c>
      <c r="H13" s="2">
        <v>-10.572468300000001</v>
      </c>
      <c r="I13" s="10">
        <f t="shared" si="1"/>
        <v>-55231.172800905784</v>
      </c>
      <c r="J13" s="10">
        <f t="shared" si="2"/>
        <v>-105794.22091432594</v>
      </c>
      <c r="K13" s="10">
        <f t="shared" si="7"/>
        <v>-52897.110457162969</v>
      </c>
      <c r="L13" s="10">
        <f t="shared" si="8"/>
        <v>-112497.49126179535</v>
      </c>
      <c r="M13" s="10">
        <f t="shared" si="0"/>
        <v>57464.622600000002</v>
      </c>
      <c r="N13" s="10">
        <f t="shared" si="9"/>
        <v>107627.34510000001</v>
      </c>
      <c r="O13" s="10">
        <f t="shared" si="10"/>
        <v>53813.672550000003</v>
      </c>
      <c r="P13" s="18">
        <f t="shared" si="11"/>
        <v>131728.39981999999</v>
      </c>
      <c r="Q13" s="37"/>
    </row>
    <row r="14" spans="1:17" ht="15.75" thickBot="1" x14ac:dyDescent="0.3">
      <c r="A14" s="5" t="s">
        <v>95</v>
      </c>
      <c r="B14" s="14"/>
      <c r="C14" s="34"/>
      <c r="D14" s="34"/>
      <c r="E14" s="34"/>
      <c r="F14" s="34"/>
      <c r="G14" s="34">
        <f>SUM(G2:G13)</f>
        <v>226495.11613500002</v>
      </c>
      <c r="H14" s="34"/>
      <c r="I14" s="34"/>
      <c r="J14" s="34"/>
      <c r="K14" s="34"/>
      <c r="L14" s="34">
        <f>SUM(L2:L13)</f>
        <v>-40780.027430531351</v>
      </c>
      <c r="M14" s="34"/>
      <c r="N14" s="34"/>
      <c r="O14" s="34"/>
      <c r="P14" s="20">
        <f>SUM(P2:P13)</f>
        <v>504074.82380499993</v>
      </c>
      <c r="Q14" s="37"/>
    </row>
    <row r="15" spans="1:17" ht="15.75" thickBo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</row>
    <row r="16" spans="1:17" ht="15.75" thickBot="1" x14ac:dyDescent="0.3">
      <c r="A16" s="5" t="s">
        <v>51</v>
      </c>
      <c r="B16" s="54">
        <f>L14/G14</f>
        <v>-0.18004815347199296</v>
      </c>
      <c r="C16" s="4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</row>
    <row r="17" spans="1:17" ht="15.75" thickBot="1" x14ac:dyDescent="0.3">
      <c r="A17" s="5" t="s">
        <v>96</v>
      </c>
      <c r="B17" s="44">
        <v>0</v>
      </c>
      <c r="C17" s="4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</row>
    <row r="18" spans="1:17" ht="15.75" thickBot="1" x14ac:dyDescent="0.3">
      <c r="A18" s="5" t="s">
        <v>50</v>
      </c>
      <c r="B18" s="45">
        <f>P14/G14</f>
        <v>2.2255438987238536</v>
      </c>
      <c r="C18" s="4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</row>
    <row r="19" spans="1:17" x14ac:dyDescent="0.25">
      <c r="A19" s="4"/>
      <c r="B19" s="4"/>
      <c r="C19" s="4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</row>
    <row r="20" spans="1:17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1" spans="1:17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E3A5-CBD2-4427-8B9E-022E1E95AB31}">
  <dimension ref="A1:AI57"/>
  <sheetViews>
    <sheetView zoomScale="70" zoomScaleNormal="70" workbookViewId="0">
      <selection activeCell="Q42" sqref="Q42"/>
    </sheetView>
  </sheetViews>
  <sheetFormatPr defaultRowHeight="15" x14ac:dyDescent="0.25"/>
  <cols>
    <col min="1" max="3" width="9.140625" style="4"/>
    <col min="4" max="4" width="10.5703125" style="4" customWidth="1"/>
    <col min="5" max="5" width="12.7109375" style="4" customWidth="1"/>
    <col min="6" max="6" width="13.85546875" style="4" customWidth="1"/>
    <col min="7" max="7" width="9.140625" style="4"/>
    <col min="8" max="8" width="9.140625" style="4" customWidth="1"/>
    <col min="9" max="9" width="10.140625" style="4" customWidth="1"/>
    <col min="10" max="10" width="13.28515625" style="4" customWidth="1"/>
    <col min="11" max="11" width="9.140625" style="4" customWidth="1"/>
    <col min="12" max="18" width="9.140625" style="4"/>
    <col min="19" max="19" width="11.7109375" style="4" customWidth="1"/>
    <col min="20" max="20" width="26" style="4" customWidth="1"/>
    <col min="21" max="21" width="15" style="4" customWidth="1"/>
    <col min="22" max="22" width="24.5703125" style="4" customWidth="1"/>
    <col min="23" max="23" width="32.7109375" style="4" customWidth="1"/>
    <col min="24" max="24" width="12.5703125" style="4" customWidth="1"/>
    <col min="25" max="25" width="11.7109375" style="4" customWidth="1"/>
    <col min="26" max="26" width="24" style="4" customWidth="1"/>
    <col min="27" max="27" width="15.140625" style="4" customWidth="1"/>
    <col min="28" max="28" width="25" style="4" customWidth="1"/>
    <col min="29" max="29" width="31.7109375" style="4" customWidth="1"/>
    <col min="30" max="30" width="9.140625" style="4"/>
    <col min="31" max="31" width="10.85546875" style="4" customWidth="1"/>
    <col min="32" max="32" width="21.42578125" style="4" customWidth="1"/>
    <col min="33" max="33" width="9.85546875" style="4" customWidth="1"/>
    <col min="34" max="34" width="21.7109375" style="4" customWidth="1"/>
    <col min="35" max="35" width="30.7109375" style="4" customWidth="1"/>
    <col min="36" max="16384" width="9.140625" style="4"/>
  </cols>
  <sheetData>
    <row r="1" spans="1:35" ht="18" thickBot="1" x14ac:dyDescent="0.35">
      <c r="A1" s="5" t="s">
        <v>8</v>
      </c>
      <c r="B1" s="5" t="s">
        <v>4</v>
      </c>
      <c r="C1" s="5" t="s">
        <v>110</v>
      </c>
      <c r="D1" s="5" t="s">
        <v>99</v>
      </c>
      <c r="E1" s="5" t="s">
        <v>14</v>
      </c>
      <c r="F1" s="5" t="s">
        <v>52</v>
      </c>
      <c r="G1" s="5" t="s">
        <v>134</v>
      </c>
      <c r="H1" s="5" t="s">
        <v>133</v>
      </c>
      <c r="I1" s="5" t="s">
        <v>132</v>
      </c>
      <c r="J1" s="5" t="s">
        <v>18</v>
      </c>
      <c r="K1" s="5" t="s">
        <v>49</v>
      </c>
      <c r="L1" s="5" t="s">
        <v>48</v>
      </c>
      <c r="S1" s="5" t="s">
        <v>4</v>
      </c>
      <c r="T1" s="5" t="s">
        <v>110</v>
      </c>
      <c r="U1" s="5" t="s">
        <v>136</v>
      </c>
      <c r="V1" s="5" t="s">
        <v>137</v>
      </c>
      <c r="W1" s="5" t="s">
        <v>120</v>
      </c>
      <c r="Y1" s="5" t="s">
        <v>4</v>
      </c>
      <c r="Z1" s="5" t="s">
        <v>121</v>
      </c>
      <c r="AA1" s="5" t="s">
        <v>124</v>
      </c>
      <c r="AB1" s="5" t="s">
        <v>127</v>
      </c>
      <c r="AC1" s="5" t="s">
        <v>120</v>
      </c>
      <c r="AD1" s="60"/>
      <c r="AE1" s="5" t="s">
        <v>4</v>
      </c>
      <c r="AF1" s="5" t="s">
        <v>18</v>
      </c>
      <c r="AG1" s="5" t="s">
        <v>128</v>
      </c>
      <c r="AH1" s="5" t="s">
        <v>129</v>
      </c>
      <c r="AI1" s="5" t="s">
        <v>120</v>
      </c>
    </row>
    <row r="2" spans="1:35" x14ac:dyDescent="0.25">
      <c r="A2" s="42">
        <v>0</v>
      </c>
      <c r="B2" s="51">
        <v>0</v>
      </c>
      <c r="C2" s="32">
        <v>1549.9374600000001</v>
      </c>
      <c r="D2" s="32">
        <v>2.2007319000000001</v>
      </c>
      <c r="E2" s="51">
        <v>0</v>
      </c>
      <c r="F2" s="51">
        <f>E2*1.025</f>
        <v>0</v>
      </c>
      <c r="G2" s="51">
        <v>0</v>
      </c>
      <c r="H2" s="51">
        <v>0</v>
      </c>
      <c r="I2" s="51">
        <v>46303.76124</v>
      </c>
      <c r="J2" s="51">
        <v>961682.2781</v>
      </c>
      <c r="K2" s="51">
        <v>0</v>
      </c>
      <c r="L2" s="43">
        <v>0</v>
      </c>
      <c r="S2" s="42">
        <v>0</v>
      </c>
      <c r="T2" s="51">
        <v>1549.9374600000001</v>
      </c>
      <c r="U2" s="51">
        <f>S2*2</f>
        <v>0</v>
      </c>
      <c r="V2" s="51">
        <f>T2/150</f>
        <v>10.3329164</v>
      </c>
      <c r="W2" s="43" t="str">
        <f>CONCATENATE(V2,",",U2)</f>
        <v>10.3329164,0</v>
      </c>
      <c r="Y2" s="42">
        <v>0</v>
      </c>
      <c r="Z2" s="51">
        <v>0</v>
      </c>
      <c r="AA2" s="51">
        <f>Y2*2</f>
        <v>0</v>
      </c>
      <c r="AB2" s="51">
        <f>Z2/1100</f>
        <v>0</v>
      </c>
      <c r="AC2" s="43" t="str">
        <f>CONCATENATE(AB2,",",AA2)</f>
        <v>0,0</v>
      </c>
      <c r="AE2" s="42">
        <v>0</v>
      </c>
      <c r="AF2" s="51">
        <v>961682.2781</v>
      </c>
      <c r="AG2" s="51">
        <f>AE2*2</f>
        <v>0</v>
      </c>
      <c r="AH2" s="51">
        <f>AF2/350000</f>
        <v>2.7476636517142858</v>
      </c>
      <c r="AI2" s="43" t="str">
        <f>CONCATENATE(AH2,",",AG2)</f>
        <v>2.74766365171429,0</v>
      </c>
    </row>
    <row r="3" spans="1:35" x14ac:dyDescent="0.25">
      <c r="A3" s="17">
        <v>1</v>
      </c>
      <c r="B3" s="10">
        <v>1</v>
      </c>
      <c r="C3" s="25">
        <v>2724.9839499999998</v>
      </c>
      <c r="D3" s="25">
        <v>1.8691306000000001</v>
      </c>
      <c r="E3" s="25">
        <v>2137.460705</v>
      </c>
      <c r="F3" s="51">
        <f t="shared" ref="F3:F13" si="0">E3*1.025</f>
        <v>2190.8972226249998</v>
      </c>
      <c r="G3" s="51">
        <f t="shared" ref="G3:G13" si="1">L26/E3</f>
        <v>1.989357670245649</v>
      </c>
      <c r="H3" s="51">
        <f t="shared" ref="H3:H13" si="2">P26/E3</f>
        <v>0.3187174322814042</v>
      </c>
      <c r="I3" s="10">
        <v>125811.32369999999</v>
      </c>
      <c r="J3" s="10">
        <v>3105581.9879999999</v>
      </c>
      <c r="K3" s="51">
        <f t="shared" ref="K3:K13" si="3">I3/E3</f>
        <v>58.860180870553123</v>
      </c>
      <c r="L3" s="43">
        <f t="shared" ref="L3:L13" si="4">J3/E3</f>
        <v>1452.9305641667925</v>
      </c>
      <c r="S3" s="17">
        <v>1</v>
      </c>
      <c r="T3" s="10">
        <v>2724.9839499999998</v>
      </c>
      <c r="U3" s="10">
        <f t="shared" ref="U3:U12" si="5">S3*2</f>
        <v>2</v>
      </c>
      <c r="V3" s="51">
        <f t="shared" ref="V3:V12" si="6">T3/150</f>
        <v>18.166559666666664</v>
      </c>
      <c r="W3" s="18" t="str">
        <f t="shared" ref="W3:W11" si="7">CONCATENATE(V3,",",U3)</f>
        <v>18.1665596666667,2</v>
      </c>
      <c r="Y3" s="17">
        <v>1</v>
      </c>
      <c r="Z3" s="10">
        <v>2190.8972226249998</v>
      </c>
      <c r="AA3" s="10">
        <f t="shared" ref="AA3:AA12" si="8">Y3*2</f>
        <v>2</v>
      </c>
      <c r="AB3" s="51">
        <f t="shared" ref="AB3:AB12" si="9">Z3/1100</f>
        <v>1.991724747840909</v>
      </c>
      <c r="AC3" s="18" t="str">
        <f t="shared" ref="AC3:AC12" si="10">CONCATENATE(AB3,",",AA3)</f>
        <v>1.99172474784091,2</v>
      </c>
      <c r="AE3" s="17">
        <v>1</v>
      </c>
      <c r="AF3" s="10">
        <v>3105581.9879999999</v>
      </c>
      <c r="AG3" s="10">
        <f t="shared" ref="AG3:AG12" si="11">AE3*2</f>
        <v>2</v>
      </c>
      <c r="AH3" s="51">
        <f t="shared" ref="AH3:AH12" si="12">AF3/350000</f>
        <v>8.8730913942857139</v>
      </c>
      <c r="AI3" s="18" t="str">
        <f t="shared" ref="AI3:AI12" si="13">CONCATENATE(AH3,",",AG3)</f>
        <v>8.87309139428571,2</v>
      </c>
    </row>
    <row r="4" spans="1:35" x14ac:dyDescent="0.25">
      <c r="A4" s="17">
        <v>2</v>
      </c>
      <c r="B4" s="10">
        <v>2</v>
      </c>
      <c r="C4" s="25">
        <v>3134.5440899999999</v>
      </c>
      <c r="D4" s="25">
        <v>1.8739265000000001</v>
      </c>
      <c r="E4" s="25">
        <v>5067.224725</v>
      </c>
      <c r="F4" s="51">
        <f t="shared" si="0"/>
        <v>5193.9053431249995</v>
      </c>
      <c r="G4" s="51">
        <f t="shared" si="1"/>
        <v>1.9213282294090577</v>
      </c>
      <c r="H4" s="51">
        <f t="shared" si="2"/>
        <v>0.57817921623754309</v>
      </c>
      <c r="I4" s="10">
        <v>166562.78779999999</v>
      </c>
      <c r="J4" s="10">
        <v>3995690.747</v>
      </c>
      <c r="K4" s="51">
        <f t="shared" si="3"/>
        <v>32.870613963149225</v>
      </c>
      <c r="L4" s="43">
        <f t="shared" si="4"/>
        <v>788.53632192126622</v>
      </c>
      <c r="S4" s="17">
        <v>2</v>
      </c>
      <c r="T4" s="10">
        <v>3134.5440899999999</v>
      </c>
      <c r="U4" s="10">
        <f t="shared" si="5"/>
        <v>4</v>
      </c>
      <c r="V4" s="51">
        <f t="shared" si="6"/>
        <v>20.8969606</v>
      </c>
      <c r="W4" s="18" t="str">
        <f t="shared" si="7"/>
        <v>20.8969606,4</v>
      </c>
      <c r="Y4" s="17">
        <v>2</v>
      </c>
      <c r="Z4" s="10">
        <v>5193.9053431249995</v>
      </c>
      <c r="AA4" s="10">
        <f t="shared" si="8"/>
        <v>4</v>
      </c>
      <c r="AB4" s="51">
        <f t="shared" si="9"/>
        <v>4.7217321301136357</v>
      </c>
      <c r="AC4" s="18" t="str">
        <f t="shared" si="10"/>
        <v>4.72173213011364,4</v>
      </c>
      <c r="AE4" s="17">
        <v>2</v>
      </c>
      <c r="AF4" s="10">
        <v>3995690.747</v>
      </c>
      <c r="AG4" s="10">
        <f t="shared" si="11"/>
        <v>4</v>
      </c>
      <c r="AH4" s="51">
        <f t="shared" si="12"/>
        <v>11.416259277142856</v>
      </c>
      <c r="AI4" s="18" t="str">
        <f t="shared" si="13"/>
        <v>11.4162592771429,4</v>
      </c>
    </row>
    <row r="5" spans="1:35" x14ac:dyDescent="0.25">
      <c r="A5" s="17">
        <v>3</v>
      </c>
      <c r="B5" s="10">
        <v>3</v>
      </c>
      <c r="C5" s="25">
        <v>3414.3618900000001</v>
      </c>
      <c r="D5" s="25">
        <v>1.8562689999999999</v>
      </c>
      <c r="E5" s="25">
        <v>8341.6777149999998</v>
      </c>
      <c r="F5" s="51">
        <f t="shared" si="0"/>
        <v>8550.219657874999</v>
      </c>
      <c r="G5" s="51">
        <f t="shared" si="1"/>
        <v>1.8991073658772906</v>
      </c>
      <c r="H5" s="51">
        <f t="shared" si="2"/>
        <v>0.8460896864678259</v>
      </c>
      <c r="I5" s="10">
        <v>199110.17989999999</v>
      </c>
      <c r="J5" s="10">
        <v>4610107.74</v>
      </c>
      <c r="K5" s="51">
        <f t="shared" si="3"/>
        <v>23.869320621433285</v>
      </c>
      <c r="L5" s="43">
        <f t="shared" si="4"/>
        <v>552.65953654743907</v>
      </c>
      <c r="S5" s="17">
        <v>3</v>
      </c>
      <c r="T5" s="10">
        <v>3414.3618900000001</v>
      </c>
      <c r="U5" s="10">
        <f t="shared" si="5"/>
        <v>6</v>
      </c>
      <c r="V5" s="51">
        <f t="shared" si="6"/>
        <v>22.762412600000001</v>
      </c>
      <c r="W5" s="18" t="str">
        <f t="shared" si="7"/>
        <v>22.7624126,6</v>
      </c>
      <c r="Y5" s="17">
        <v>3</v>
      </c>
      <c r="Z5" s="10">
        <v>8550.219657874999</v>
      </c>
      <c r="AA5" s="10">
        <f t="shared" si="8"/>
        <v>6</v>
      </c>
      <c r="AB5" s="51">
        <f t="shared" si="9"/>
        <v>7.7729269617045444</v>
      </c>
      <c r="AC5" s="18" t="str">
        <f t="shared" si="10"/>
        <v>7.77292696170454,6</v>
      </c>
      <c r="AE5" s="17">
        <v>3</v>
      </c>
      <c r="AF5" s="10">
        <v>4610107.74</v>
      </c>
      <c r="AG5" s="10">
        <f t="shared" si="11"/>
        <v>6</v>
      </c>
      <c r="AH5" s="51">
        <f t="shared" si="12"/>
        <v>13.1717364</v>
      </c>
      <c r="AI5" s="18" t="str">
        <f t="shared" si="13"/>
        <v>13.1717364,6</v>
      </c>
    </row>
    <row r="6" spans="1:35" x14ac:dyDescent="0.25">
      <c r="A6" s="17">
        <v>4</v>
      </c>
      <c r="B6" s="10">
        <v>4</v>
      </c>
      <c r="C6" s="25">
        <v>3627.0432099999998</v>
      </c>
      <c r="D6" s="25">
        <v>1.7301853</v>
      </c>
      <c r="E6" s="25">
        <v>11862.380265</v>
      </c>
      <c r="F6" s="51">
        <f t="shared" si="0"/>
        <v>12158.939771624999</v>
      </c>
      <c r="G6" s="51">
        <f t="shared" si="1"/>
        <v>1.8671174406267914</v>
      </c>
      <c r="H6" s="51">
        <f t="shared" si="2"/>
        <v>1.1166074442143168</v>
      </c>
      <c r="I6" s="10">
        <v>224305.4921</v>
      </c>
      <c r="J6" s="10">
        <v>5102950.7829999998</v>
      </c>
      <c r="K6" s="51">
        <f t="shared" si="3"/>
        <v>18.908978391277362</v>
      </c>
      <c r="L6" s="43">
        <f t="shared" si="4"/>
        <v>430.17932902187232</v>
      </c>
      <c r="S6" s="17">
        <v>4</v>
      </c>
      <c r="T6" s="10">
        <v>3627.0432099999998</v>
      </c>
      <c r="U6" s="10">
        <f t="shared" si="5"/>
        <v>8</v>
      </c>
      <c r="V6" s="51">
        <f t="shared" si="6"/>
        <v>24.180288066666666</v>
      </c>
      <c r="W6" s="18" t="str">
        <f t="shared" si="7"/>
        <v>24.1802880666667,8</v>
      </c>
      <c r="Y6" s="17">
        <v>4</v>
      </c>
      <c r="Z6" s="10">
        <v>12158.939771624999</v>
      </c>
      <c r="AA6" s="10">
        <f t="shared" si="8"/>
        <v>8</v>
      </c>
      <c r="AB6" s="51">
        <f t="shared" si="9"/>
        <v>11.05358161056818</v>
      </c>
      <c r="AC6" s="18" t="str">
        <f t="shared" si="10"/>
        <v>11.0535816105682,8</v>
      </c>
      <c r="AE6" s="17">
        <v>4</v>
      </c>
      <c r="AF6" s="10">
        <v>5102950.7829999998</v>
      </c>
      <c r="AG6" s="10">
        <f t="shared" si="11"/>
        <v>8</v>
      </c>
      <c r="AH6" s="51">
        <f t="shared" si="12"/>
        <v>14.57985938</v>
      </c>
      <c r="AI6" s="18" t="str">
        <f t="shared" si="13"/>
        <v>14.57985938,8</v>
      </c>
    </row>
    <row r="7" spans="1:35" x14ac:dyDescent="0.25">
      <c r="A7" s="17">
        <v>5</v>
      </c>
      <c r="B7" s="10">
        <v>5</v>
      </c>
      <c r="C7" s="25">
        <v>3815.61058</v>
      </c>
      <c r="D7" s="25">
        <v>1.1569062000000001</v>
      </c>
      <c r="E7" s="25">
        <v>15583.70716</v>
      </c>
      <c r="F7" s="51">
        <f t="shared" si="0"/>
        <v>15973.299838999999</v>
      </c>
      <c r="G7" s="51">
        <f t="shared" si="1"/>
        <v>1.76423600549266</v>
      </c>
      <c r="H7" s="51">
        <f t="shared" si="2"/>
        <v>1.3887695862606289</v>
      </c>
      <c r="I7" s="10">
        <v>246825.6109</v>
      </c>
      <c r="J7" s="10">
        <v>5596928.7929999996</v>
      </c>
      <c r="K7" s="51">
        <f t="shared" si="3"/>
        <v>15.83869668274747</v>
      </c>
      <c r="L7" s="43">
        <f t="shared" si="4"/>
        <v>359.15259030059951</v>
      </c>
      <c r="S7" s="17">
        <v>5</v>
      </c>
      <c r="T7" s="10">
        <v>3815.61058</v>
      </c>
      <c r="U7" s="10">
        <f t="shared" si="5"/>
        <v>10</v>
      </c>
      <c r="V7" s="51">
        <f t="shared" si="6"/>
        <v>25.437403866666667</v>
      </c>
      <c r="W7" s="18" t="str">
        <f t="shared" si="7"/>
        <v>25.4374038666667,10</v>
      </c>
      <c r="Y7" s="17">
        <v>5</v>
      </c>
      <c r="Z7" s="10">
        <v>15973.299838999999</v>
      </c>
      <c r="AA7" s="10">
        <f t="shared" si="8"/>
        <v>10</v>
      </c>
      <c r="AB7" s="51">
        <f t="shared" si="9"/>
        <v>14.521181671818182</v>
      </c>
      <c r="AC7" s="18" t="str">
        <f t="shared" si="10"/>
        <v>14.5211816718182,10</v>
      </c>
      <c r="AE7" s="17">
        <v>5</v>
      </c>
      <c r="AF7" s="10">
        <v>5596928.7929999996</v>
      </c>
      <c r="AG7" s="10">
        <f t="shared" si="11"/>
        <v>10</v>
      </c>
      <c r="AH7" s="51">
        <f t="shared" si="12"/>
        <v>15.991225122857141</v>
      </c>
      <c r="AI7" s="18" t="str">
        <f t="shared" si="13"/>
        <v>15.9912251228571,10</v>
      </c>
    </row>
    <row r="8" spans="1:35" x14ac:dyDescent="0.25">
      <c r="A8" s="17">
        <v>6</v>
      </c>
      <c r="B8" s="10">
        <v>6</v>
      </c>
      <c r="C8" s="25">
        <v>4006.2673799999998</v>
      </c>
      <c r="D8" s="25">
        <v>9.3913999999999994E-3</v>
      </c>
      <c r="E8" s="25">
        <v>19494.646140000001</v>
      </c>
      <c r="F8" s="51">
        <f t="shared" si="0"/>
        <v>19982.0122935</v>
      </c>
      <c r="G8" s="51">
        <f t="shared" si="1"/>
        <v>1.5244852897266197</v>
      </c>
      <c r="H8" s="51">
        <f t="shared" si="2"/>
        <v>1.6630767548776855</v>
      </c>
      <c r="I8" s="10">
        <v>268352.37070000003</v>
      </c>
      <c r="J8" s="10">
        <v>6161523.5580000002</v>
      </c>
      <c r="K8" s="51">
        <f t="shared" si="3"/>
        <v>13.765439432592851</v>
      </c>
      <c r="L8" s="43">
        <f t="shared" si="4"/>
        <v>316.06234418164206</v>
      </c>
      <c r="S8" s="17">
        <v>6</v>
      </c>
      <c r="T8" s="10">
        <v>4006.2673799999998</v>
      </c>
      <c r="U8" s="10">
        <f t="shared" si="5"/>
        <v>12</v>
      </c>
      <c r="V8" s="51">
        <f t="shared" si="6"/>
        <v>26.708449199999997</v>
      </c>
      <c r="W8" s="18" t="str">
        <f t="shared" si="7"/>
        <v>26.7084492,12</v>
      </c>
      <c r="Y8" s="17">
        <v>6</v>
      </c>
      <c r="Z8" s="10">
        <v>19982.0122935</v>
      </c>
      <c r="AA8" s="10">
        <f t="shared" si="8"/>
        <v>12</v>
      </c>
      <c r="AB8" s="51">
        <f t="shared" si="9"/>
        <v>18.165465721363635</v>
      </c>
      <c r="AC8" s="18" t="str">
        <f t="shared" si="10"/>
        <v>18.1654657213636,12</v>
      </c>
      <c r="AE8" s="17">
        <v>6</v>
      </c>
      <c r="AF8" s="10">
        <v>6161523.5580000002</v>
      </c>
      <c r="AG8" s="10">
        <f t="shared" si="11"/>
        <v>12</v>
      </c>
      <c r="AH8" s="51">
        <f t="shared" si="12"/>
        <v>17.604353022857143</v>
      </c>
      <c r="AI8" s="18" t="str">
        <f t="shared" si="13"/>
        <v>17.6043530228571,12</v>
      </c>
    </row>
    <row r="9" spans="1:35" x14ac:dyDescent="0.25">
      <c r="A9" s="17">
        <v>7</v>
      </c>
      <c r="B9" s="10">
        <v>7</v>
      </c>
      <c r="C9" s="25">
        <v>4214.6423800000002</v>
      </c>
      <c r="D9" s="25">
        <v>-1.8071018000000001</v>
      </c>
      <c r="E9" s="25">
        <v>23605.101020000002</v>
      </c>
      <c r="F9" s="51">
        <f t="shared" si="0"/>
        <v>24195.228545499998</v>
      </c>
      <c r="G9" s="51">
        <f t="shared" si="1"/>
        <v>1.0984900916541365</v>
      </c>
      <c r="H9" s="51">
        <f t="shared" si="2"/>
        <v>1.9405177735180901</v>
      </c>
      <c r="I9" s="10">
        <v>291668.49349999998</v>
      </c>
      <c r="J9" s="10">
        <v>6883576.2829999998</v>
      </c>
      <c r="K9" s="51">
        <f t="shared" si="3"/>
        <v>12.356163748372722</v>
      </c>
      <c r="L9" s="43">
        <f t="shared" si="4"/>
        <v>291.61393027582136</v>
      </c>
      <c r="S9" s="17">
        <v>7</v>
      </c>
      <c r="T9" s="10">
        <v>4214.6423800000002</v>
      </c>
      <c r="U9" s="10">
        <f t="shared" si="5"/>
        <v>14</v>
      </c>
      <c r="V9" s="51">
        <f t="shared" si="6"/>
        <v>28.097615866666668</v>
      </c>
      <c r="W9" s="18" t="str">
        <f t="shared" si="7"/>
        <v>28.0976158666667,14</v>
      </c>
      <c r="Y9" s="17">
        <v>7</v>
      </c>
      <c r="Z9" s="10">
        <v>24195.228545499998</v>
      </c>
      <c r="AA9" s="10">
        <f t="shared" si="8"/>
        <v>14</v>
      </c>
      <c r="AB9" s="51">
        <f t="shared" si="9"/>
        <v>21.995662314090907</v>
      </c>
      <c r="AC9" s="18" t="str">
        <f t="shared" si="10"/>
        <v>21.9956623140909,14</v>
      </c>
      <c r="AE9" s="17">
        <v>7</v>
      </c>
      <c r="AF9" s="10">
        <v>6883576.2829999998</v>
      </c>
      <c r="AG9" s="10">
        <f t="shared" si="11"/>
        <v>14</v>
      </c>
      <c r="AH9" s="51">
        <f t="shared" si="12"/>
        <v>19.667360808571427</v>
      </c>
      <c r="AI9" s="18" t="str">
        <f t="shared" si="13"/>
        <v>19.6673608085714,14</v>
      </c>
    </row>
    <row r="10" spans="1:35" x14ac:dyDescent="0.25">
      <c r="A10" s="17">
        <v>8</v>
      </c>
      <c r="B10" s="10">
        <v>8</v>
      </c>
      <c r="C10" s="25">
        <v>4456.9941399999998</v>
      </c>
      <c r="D10" s="25">
        <v>-4.4483451000000001</v>
      </c>
      <c r="E10" s="25">
        <v>27940.919280000002</v>
      </c>
      <c r="F10" s="51">
        <f t="shared" si="0"/>
        <v>28639.442262</v>
      </c>
      <c r="G10" s="51">
        <f t="shared" si="1"/>
        <v>0.43694702823818304</v>
      </c>
      <c r="H10" s="51">
        <f t="shared" si="2"/>
        <v>2.222393969852233</v>
      </c>
      <c r="I10" s="10">
        <v>317623.14069999999</v>
      </c>
      <c r="J10" s="10">
        <v>7883301.0889999997</v>
      </c>
      <c r="K10" s="51">
        <f t="shared" si="3"/>
        <v>11.367669671747464</v>
      </c>
      <c r="L10" s="43">
        <f t="shared" si="4"/>
        <v>282.14179390449885</v>
      </c>
      <c r="S10" s="17">
        <v>8</v>
      </c>
      <c r="T10" s="10">
        <v>4456.9941399999998</v>
      </c>
      <c r="U10" s="10">
        <f t="shared" si="5"/>
        <v>16</v>
      </c>
      <c r="V10" s="51">
        <f t="shared" si="6"/>
        <v>29.713294266666665</v>
      </c>
      <c r="W10" s="18" t="str">
        <f t="shared" si="7"/>
        <v>29.7132942666667,16</v>
      </c>
      <c r="Y10" s="17">
        <v>8</v>
      </c>
      <c r="Z10" s="10">
        <v>28639.442262</v>
      </c>
      <c r="AA10" s="10">
        <f t="shared" si="8"/>
        <v>16</v>
      </c>
      <c r="AB10" s="51">
        <f t="shared" si="9"/>
        <v>26.035856601818182</v>
      </c>
      <c r="AC10" s="18" t="str">
        <f t="shared" si="10"/>
        <v>26.0358566018182,16</v>
      </c>
      <c r="AE10" s="17">
        <v>8</v>
      </c>
      <c r="AF10" s="10">
        <v>7883301.0889999997</v>
      </c>
      <c r="AG10" s="10">
        <f t="shared" si="11"/>
        <v>16</v>
      </c>
      <c r="AH10" s="51">
        <f t="shared" si="12"/>
        <v>22.523717397142857</v>
      </c>
      <c r="AI10" s="18" t="str">
        <f t="shared" si="13"/>
        <v>22.5237173971429,16</v>
      </c>
    </row>
    <row r="11" spans="1:35" x14ac:dyDescent="0.25">
      <c r="A11" s="17">
        <v>9</v>
      </c>
      <c r="B11" s="10">
        <v>9</v>
      </c>
      <c r="C11" s="25">
        <v>4726.9253600000002</v>
      </c>
      <c r="D11" s="25">
        <v>-7.7459303000000004</v>
      </c>
      <c r="E11" s="25">
        <v>32532.879030000004</v>
      </c>
      <c r="F11" s="51">
        <f t="shared" si="0"/>
        <v>33346.201005750001</v>
      </c>
      <c r="G11" s="51">
        <f t="shared" si="1"/>
        <v>-0.49216792486229288</v>
      </c>
      <c r="H11" s="51">
        <f t="shared" si="2"/>
        <v>2.5096242107780027</v>
      </c>
      <c r="I11" s="10">
        <v>344869.83199999999</v>
      </c>
      <c r="J11" s="10">
        <v>9167137.2306197006</v>
      </c>
      <c r="K11" s="51">
        <f t="shared" si="3"/>
        <v>10.600655161259485</v>
      </c>
      <c r="L11" s="43">
        <f t="shared" si="4"/>
        <v>281.78069399164701</v>
      </c>
      <c r="S11" s="17">
        <v>9</v>
      </c>
      <c r="T11" s="10">
        <v>4726.9253600000002</v>
      </c>
      <c r="U11" s="10">
        <f t="shared" si="5"/>
        <v>18</v>
      </c>
      <c r="V11" s="51">
        <f t="shared" si="6"/>
        <v>31.512835733333336</v>
      </c>
      <c r="W11" s="18" t="str">
        <f t="shared" si="7"/>
        <v>31.5128357333333,18</v>
      </c>
      <c r="Y11" s="17">
        <v>9</v>
      </c>
      <c r="Z11" s="10">
        <v>33346.201005750001</v>
      </c>
      <c r="AA11" s="10">
        <f t="shared" si="8"/>
        <v>18</v>
      </c>
      <c r="AB11" s="51">
        <f t="shared" si="9"/>
        <v>30.314728187045457</v>
      </c>
      <c r="AC11" s="18" t="str">
        <f t="shared" si="10"/>
        <v>30.3147281870455,18</v>
      </c>
      <c r="AE11" s="17">
        <v>9</v>
      </c>
      <c r="AF11" s="10">
        <v>9167137.2306197006</v>
      </c>
      <c r="AG11" s="10">
        <f t="shared" si="11"/>
        <v>18</v>
      </c>
      <c r="AH11" s="51">
        <f t="shared" si="12"/>
        <v>26.191820658913429</v>
      </c>
      <c r="AI11" s="18" t="str">
        <f t="shared" si="13"/>
        <v>26.1918206589134,18</v>
      </c>
    </row>
    <row r="12" spans="1:35" ht="15.75" thickBot="1" x14ac:dyDescent="0.3">
      <c r="A12" s="53">
        <v>10</v>
      </c>
      <c r="B12" s="55">
        <v>10</v>
      </c>
      <c r="C12" s="25">
        <v>5016.27225</v>
      </c>
      <c r="D12" s="25">
        <v>-10.0798054</v>
      </c>
      <c r="E12" s="25">
        <v>37404.477835000005</v>
      </c>
      <c r="F12" s="51">
        <f t="shared" si="0"/>
        <v>38339.589780875001</v>
      </c>
      <c r="G12" s="51">
        <f t="shared" si="1"/>
        <v>-1.5934022944403543</v>
      </c>
      <c r="H12" s="51">
        <f t="shared" si="2"/>
        <v>2.8023800788609505</v>
      </c>
      <c r="I12" s="10">
        <v>372513.0477</v>
      </c>
      <c r="J12" s="10">
        <v>10871721.210000001</v>
      </c>
      <c r="K12" s="51">
        <f t="shared" si="3"/>
        <v>9.9590495379521968</v>
      </c>
      <c r="L12" s="43">
        <f t="shared" si="4"/>
        <v>290.65293353265707</v>
      </c>
      <c r="S12" s="19">
        <v>10</v>
      </c>
      <c r="T12" s="34">
        <v>5016.27225</v>
      </c>
      <c r="U12" s="34">
        <f t="shared" si="5"/>
        <v>20</v>
      </c>
      <c r="V12" s="56">
        <f t="shared" si="6"/>
        <v>33.441814999999998</v>
      </c>
      <c r="W12" s="20" t="str">
        <f>CONCATENATE(V12,",",U12)</f>
        <v>33.441815,20</v>
      </c>
      <c r="Y12" s="19">
        <v>10</v>
      </c>
      <c r="Z12" s="34">
        <v>38339.589780875001</v>
      </c>
      <c r="AA12" s="34">
        <f t="shared" si="8"/>
        <v>20</v>
      </c>
      <c r="AB12" s="56">
        <f t="shared" si="9"/>
        <v>34.854172528068183</v>
      </c>
      <c r="AC12" s="20" t="str">
        <f t="shared" si="10"/>
        <v>34.8541725280682,20</v>
      </c>
      <c r="AE12" s="19">
        <v>10</v>
      </c>
      <c r="AF12" s="34">
        <v>10871721.210000001</v>
      </c>
      <c r="AG12" s="34">
        <f t="shared" si="11"/>
        <v>20</v>
      </c>
      <c r="AH12" s="56">
        <f t="shared" si="12"/>
        <v>31.062060600000002</v>
      </c>
      <c r="AI12" s="20" t="str">
        <f t="shared" si="13"/>
        <v>31.0620606,20</v>
      </c>
    </row>
    <row r="13" spans="1:35" ht="15.75" thickBot="1" x14ac:dyDescent="0.3">
      <c r="A13" s="19">
        <v>11</v>
      </c>
      <c r="B13" s="34">
        <v>11</v>
      </c>
      <c r="C13" s="28">
        <v>5224.0565999999999</v>
      </c>
      <c r="D13" s="28">
        <v>-10.572468300000001</v>
      </c>
      <c r="E13" s="28">
        <v>42524.642260000008</v>
      </c>
      <c r="F13" s="56">
        <f t="shared" si="0"/>
        <v>43587.758316500003</v>
      </c>
      <c r="G13" s="56">
        <f t="shared" si="1"/>
        <v>-2.6454659059557559</v>
      </c>
      <c r="H13" s="56">
        <f t="shared" si="2"/>
        <v>3.097695661132176</v>
      </c>
      <c r="I13" s="34">
        <v>373912.05310000002</v>
      </c>
      <c r="J13" s="34">
        <v>11031228.41</v>
      </c>
      <c r="K13" s="56">
        <f t="shared" si="3"/>
        <v>8.792832419702993</v>
      </c>
      <c r="L13" s="57">
        <f t="shared" si="4"/>
        <v>259.40790618658099</v>
      </c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</row>
    <row r="14" spans="1:35" ht="15.75" thickBot="1" x14ac:dyDescent="0.3"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</row>
    <row r="15" spans="1:35" ht="18" thickBot="1" x14ac:dyDescent="0.35">
      <c r="G15" s="61"/>
      <c r="H15" s="61"/>
      <c r="I15" s="61"/>
      <c r="S15" s="5" t="s">
        <v>4</v>
      </c>
      <c r="T15" s="5" t="s">
        <v>99</v>
      </c>
      <c r="U15" s="5" t="s">
        <v>138</v>
      </c>
      <c r="V15" s="5" t="s">
        <v>139</v>
      </c>
      <c r="W15" s="5" t="s">
        <v>120</v>
      </c>
      <c r="X15" s="60"/>
      <c r="Y15" s="5" t="s">
        <v>4</v>
      </c>
      <c r="Z15" s="5" t="s">
        <v>133</v>
      </c>
      <c r="AA15" s="5" t="s">
        <v>145</v>
      </c>
      <c r="AB15" s="5" t="s">
        <v>144</v>
      </c>
      <c r="AC15" s="5" t="s">
        <v>120</v>
      </c>
      <c r="AD15" s="60"/>
      <c r="AE15" s="5" t="s">
        <v>4</v>
      </c>
      <c r="AF15" s="5" t="s">
        <v>49</v>
      </c>
      <c r="AG15" s="5" t="s">
        <v>128</v>
      </c>
      <c r="AH15" s="5" t="s">
        <v>130</v>
      </c>
      <c r="AI15" s="5" t="s">
        <v>120</v>
      </c>
    </row>
    <row r="16" spans="1:35" ht="15.75" thickBot="1" x14ac:dyDescent="0.3">
      <c r="A16" s="76" t="s">
        <v>111</v>
      </c>
      <c r="B16" s="77"/>
      <c r="C16" s="77"/>
      <c r="D16" s="78"/>
      <c r="E16" s="96" t="s">
        <v>135</v>
      </c>
      <c r="F16" s="97"/>
      <c r="G16" s="61"/>
      <c r="H16" s="61"/>
      <c r="I16" s="61"/>
      <c r="S16" s="42">
        <v>0</v>
      </c>
      <c r="T16" s="51">
        <v>2.2007319000000001</v>
      </c>
      <c r="U16" s="51">
        <f>S16*2</f>
        <v>0</v>
      </c>
      <c r="V16" s="51">
        <f>T16/2</f>
        <v>1.10036595</v>
      </c>
      <c r="W16" s="43" t="str">
        <f>CONCATENATE(V16,",",U16)</f>
        <v>1.10036595,0</v>
      </c>
      <c r="Y16" s="42">
        <v>0</v>
      </c>
      <c r="Z16" s="51">
        <v>0</v>
      </c>
      <c r="AA16" s="51">
        <f>Y16*2</f>
        <v>0</v>
      </c>
      <c r="AB16" s="51">
        <f>Z16/2</f>
        <v>0</v>
      </c>
      <c r="AC16" s="43" t="str">
        <f>CONCATENATE(AB16,",",AA16)</f>
        <v>0,0</v>
      </c>
      <c r="AE16" s="42">
        <v>0</v>
      </c>
      <c r="AF16" s="51">
        <v>0</v>
      </c>
      <c r="AG16" s="51">
        <f>AE16*2</f>
        <v>0</v>
      </c>
      <c r="AH16" s="51">
        <f>AF16/2</f>
        <v>0</v>
      </c>
      <c r="AI16" s="43" t="str">
        <f>CONCATENATE(AH16,",",AG16)</f>
        <v>0,0</v>
      </c>
    </row>
    <row r="17" spans="1:35" ht="17.25" thickBot="1" x14ac:dyDescent="0.35">
      <c r="A17" s="76" t="s">
        <v>112</v>
      </c>
      <c r="B17" s="77"/>
      <c r="C17" s="77"/>
      <c r="D17" s="78"/>
      <c r="E17" s="92" t="s">
        <v>122</v>
      </c>
      <c r="F17" s="93"/>
      <c r="G17" s="61"/>
      <c r="H17" s="61"/>
      <c r="I17" s="61"/>
      <c r="S17" s="17">
        <v>1</v>
      </c>
      <c r="T17" s="10">
        <v>1.8691306000000001</v>
      </c>
      <c r="U17" s="10">
        <f t="shared" ref="U17:U26" si="14">S17*2</f>
        <v>2</v>
      </c>
      <c r="V17" s="10">
        <f t="shared" ref="V17:V25" si="15">T17/2</f>
        <v>0.93456530000000004</v>
      </c>
      <c r="W17" s="18" t="str">
        <f t="shared" ref="W17:W26" si="16">CONCATENATE(V17,",",U17)</f>
        <v>0.9345653,2</v>
      </c>
      <c r="Y17" s="17">
        <v>1</v>
      </c>
      <c r="Z17" s="10">
        <v>0.3187174322814042</v>
      </c>
      <c r="AA17" s="10">
        <f t="shared" ref="AA17:AA26" si="17">Y17*2</f>
        <v>2</v>
      </c>
      <c r="AB17" s="10">
        <f t="shared" ref="AB17:AB26" si="18">Z17/2</f>
        <v>0.1593587161407021</v>
      </c>
      <c r="AC17" s="18" t="str">
        <f t="shared" ref="AC17:AC26" si="19">CONCATENATE(AB17,",",AA17)</f>
        <v>0.159358716140702,2</v>
      </c>
      <c r="AE17" s="17">
        <v>1</v>
      </c>
      <c r="AF17" s="10">
        <v>58.9483152274831</v>
      </c>
      <c r="AG17" s="10">
        <f t="shared" ref="AG17:AG26" si="20">AE17*2</f>
        <v>2</v>
      </c>
      <c r="AH17" s="10">
        <f t="shared" ref="AH17:AH26" si="21">AF17/2</f>
        <v>29.47415761374155</v>
      </c>
      <c r="AI17" s="18" t="str">
        <f t="shared" ref="AI17:AI26" si="22">CONCATENATE(AH17,",",AG17)</f>
        <v>29.4741576137415,2</v>
      </c>
    </row>
    <row r="18" spans="1:35" ht="17.25" thickBot="1" x14ac:dyDescent="0.35">
      <c r="A18" s="76" t="s">
        <v>113</v>
      </c>
      <c r="B18" s="77"/>
      <c r="C18" s="77"/>
      <c r="D18" s="78"/>
      <c r="E18" s="92" t="s">
        <v>123</v>
      </c>
      <c r="F18" s="93"/>
      <c r="S18" s="17">
        <v>2</v>
      </c>
      <c r="T18" s="10">
        <v>1.8739265000000001</v>
      </c>
      <c r="U18" s="10">
        <f t="shared" si="14"/>
        <v>4</v>
      </c>
      <c r="V18" s="10">
        <f t="shared" si="15"/>
        <v>0.93696325000000003</v>
      </c>
      <c r="W18" s="18" t="str">
        <f t="shared" si="16"/>
        <v>0.93696325,4</v>
      </c>
      <c r="Y18" s="17">
        <v>2</v>
      </c>
      <c r="Z18" s="10">
        <v>0.57817921623754309</v>
      </c>
      <c r="AA18" s="10">
        <f t="shared" si="17"/>
        <v>4</v>
      </c>
      <c r="AB18" s="10">
        <f t="shared" si="18"/>
        <v>0.28908960811877155</v>
      </c>
      <c r="AC18" s="18" t="str">
        <f t="shared" si="19"/>
        <v>0.289089608118772,4</v>
      </c>
      <c r="AE18" s="17">
        <v>2</v>
      </c>
      <c r="AF18" s="10">
        <v>32.925099044234628</v>
      </c>
      <c r="AG18" s="10">
        <f t="shared" si="20"/>
        <v>4</v>
      </c>
      <c r="AH18" s="10">
        <f t="shared" si="21"/>
        <v>16.462549522117314</v>
      </c>
      <c r="AI18" s="18" t="str">
        <f t="shared" si="22"/>
        <v>16.4625495221173,4</v>
      </c>
    </row>
    <row r="19" spans="1:35" ht="15.75" thickBot="1" x14ac:dyDescent="0.3">
      <c r="A19" s="76" t="s">
        <v>114</v>
      </c>
      <c r="B19" s="77"/>
      <c r="C19" s="77"/>
      <c r="D19" s="78"/>
      <c r="E19" s="92" t="s">
        <v>115</v>
      </c>
      <c r="F19" s="93"/>
      <c r="S19" s="17">
        <v>3</v>
      </c>
      <c r="T19" s="10">
        <v>1.8562689999999999</v>
      </c>
      <c r="U19" s="10">
        <f t="shared" si="14"/>
        <v>6</v>
      </c>
      <c r="V19" s="10">
        <f t="shared" si="15"/>
        <v>0.92813449999999997</v>
      </c>
      <c r="W19" s="18" t="str">
        <f t="shared" si="16"/>
        <v>0.9281345,6</v>
      </c>
      <c r="Y19" s="17">
        <v>3</v>
      </c>
      <c r="Z19" s="10">
        <v>0.8460896864678259</v>
      </c>
      <c r="AA19" s="10">
        <f t="shared" si="17"/>
        <v>6</v>
      </c>
      <c r="AB19" s="10">
        <f t="shared" si="18"/>
        <v>0.42304484323391295</v>
      </c>
      <c r="AC19" s="18" t="str">
        <f t="shared" si="19"/>
        <v>0.423044843233913,6</v>
      </c>
      <c r="AE19" s="17">
        <v>3</v>
      </c>
      <c r="AF19" s="10">
        <v>23.911610488761408</v>
      </c>
      <c r="AG19" s="10">
        <f t="shared" si="20"/>
        <v>6</v>
      </c>
      <c r="AH19" s="10">
        <f t="shared" si="21"/>
        <v>11.955805244380704</v>
      </c>
      <c r="AI19" s="18" t="str">
        <f t="shared" si="22"/>
        <v>11.9558052443807,6</v>
      </c>
    </row>
    <row r="20" spans="1:35" ht="15.75" thickBot="1" x14ac:dyDescent="0.3">
      <c r="A20" s="76" t="s">
        <v>116</v>
      </c>
      <c r="B20" s="77"/>
      <c r="C20" s="77"/>
      <c r="D20" s="78"/>
      <c r="E20" s="92" t="s">
        <v>117</v>
      </c>
      <c r="F20" s="93"/>
      <c r="S20" s="17">
        <v>4</v>
      </c>
      <c r="T20" s="10">
        <v>1.7301853</v>
      </c>
      <c r="U20" s="10">
        <f t="shared" si="14"/>
        <v>8</v>
      </c>
      <c r="V20" s="10">
        <f t="shared" si="15"/>
        <v>0.86509265000000002</v>
      </c>
      <c r="W20" s="18" t="str">
        <f t="shared" si="16"/>
        <v>0.86509265,8</v>
      </c>
      <c r="Y20" s="17">
        <v>4</v>
      </c>
      <c r="Z20" s="10">
        <v>1.1166074442143168</v>
      </c>
      <c r="AA20" s="10">
        <f t="shared" si="17"/>
        <v>8</v>
      </c>
      <c r="AB20" s="10">
        <f t="shared" si="18"/>
        <v>0.5583037221071584</v>
      </c>
      <c r="AC20" s="18" t="str">
        <f t="shared" si="19"/>
        <v>0.558303722107158,8</v>
      </c>
      <c r="AE20" s="17">
        <v>4</v>
      </c>
      <c r="AF20" s="10">
        <v>18.946911513222361</v>
      </c>
      <c r="AG20" s="10">
        <f t="shared" si="20"/>
        <v>8</v>
      </c>
      <c r="AH20" s="10">
        <f t="shared" si="21"/>
        <v>9.4734557566111803</v>
      </c>
      <c r="AI20" s="18" t="str">
        <f t="shared" si="22"/>
        <v>9.47345575661118,8</v>
      </c>
    </row>
    <row r="21" spans="1:35" ht="15.75" thickBot="1" x14ac:dyDescent="0.3">
      <c r="A21" s="76" t="s">
        <v>118</v>
      </c>
      <c r="B21" s="77"/>
      <c r="C21" s="77"/>
      <c r="D21" s="78"/>
      <c r="E21" s="94" t="s">
        <v>119</v>
      </c>
      <c r="F21" s="95"/>
      <c r="S21" s="17">
        <v>5</v>
      </c>
      <c r="T21" s="10">
        <v>1.1569062000000001</v>
      </c>
      <c r="U21" s="10">
        <f t="shared" si="14"/>
        <v>10</v>
      </c>
      <c r="V21" s="10">
        <f t="shared" si="15"/>
        <v>0.57845310000000005</v>
      </c>
      <c r="W21" s="18" t="str">
        <f t="shared" si="16"/>
        <v>0.5784531,10</v>
      </c>
      <c r="Y21" s="17">
        <v>5</v>
      </c>
      <c r="Z21" s="10">
        <v>1.3887695862606289</v>
      </c>
      <c r="AA21" s="10">
        <f t="shared" si="17"/>
        <v>10</v>
      </c>
      <c r="AB21" s="10">
        <f t="shared" si="18"/>
        <v>0.69438479313031443</v>
      </c>
      <c r="AC21" s="18" t="str">
        <f t="shared" si="19"/>
        <v>0.694384793130314,10</v>
      </c>
      <c r="AE21" s="17">
        <v>5</v>
      </c>
      <c r="AF21" s="10">
        <v>15.87507885222033</v>
      </c>
      <c r="AG21" s="10">
        <f t="shared" si="20"/>
        <v>10</v>
      </c>
      <c r="AH21" s="10">
        <f t="shared" si="21"/>
        <v>7.9375394261101651</v>
      </c>
      <c r="AI21" s="18" t="str">
        <f t="shared" si="22"/>
        <v>7.93753942611017,10</v>
      </c>
    </row>
    <row r="22" spans="1:35" x14ac:dyDescent="0.25">
      <c r="S22" s="17">
        <v>6</v>
      </c>
      <c r="T22" s="10">
        <v>9.3913999999999994E-3</v>
      </c>
      <c r="U22" s="10">
        <f t="shared" si="14"/>
        <v>12</v>
      </c>
      <c r="V22" s="10">
        <f t="shared" si="15"/>
        <v>4.6956999999999997E-3</v>
      </c>
      <c r="W22" s="18" t="str">
        <f t="shared" si="16"/>
        <v>0.0046957,12</v>
      </c>
      <c r="Y22" s="17">
        <v>6</v>
      </c>
      <c r="Z22" s="10">
        <v>1.6630767548776855</v>
      </c>
      <c r="AA22" s="10">
        <f t="shared" si="17"/>
        <v>12</v>
      </c>
      <c r="AB22" s="10">
        <f t="shared" si="18"/>
        <v>0.83153837743884274</v>
      </c>
      <c r="AC22" s="18" t="str">
        <f t="shared" si="19"/>
        <v>0.831538377438843,12</v>
      </c>
      <c r="AE22" s="17">
        <v>6</v>
      </c>
      <c r="AF22" s="10">
        <v>13.8019796954804</v>
      </c>
      <c r="AG22" s="10">
        <f t="shared" si="20"/>
        <v>12</v>
      </c>
      <c r="AH22" s="10">
        <f t="shared" si="21"/>
        <v>6.9009898477401999</v>
      </c>
      <c r="AI22" s="18" t="str">
        <f t="shared" si="22"/>
        <v>6.9009898477402,12</v>
      </c>
    </row>
    <row r="23" spans="1:35" ht="15.75" thickBot="1" x14ac:dyDescent="0.3">
      <c r="S23" s="17">
        <v>7</v>
      </c>
      <c r="T23" s="10">
        <v>-1.8071018000000001</v>
      </c>
      <c r="U23" s="10">
        <f t="shared" si="14"/>
        <v>14</v>
      </c>
      <c r="V23" s="10">
        <f t="shared" si="15"/>
        <v>-0.90355090000000005</v>
      </c>
      <c r="W23" s="18" t="str">
        <f t="shared" si="16"/>
        <v>-0.9035509,14</v>
      </c>
      <c r="Y23" s="17">
        <v>7</v>
      </c>
      <c r="Z23" s="10">
        <v>1.9405177735180901</v>
      </c>
      <c r="AA23" s="10">
        <f t="shared" si="17"/>
        <v>14</v>
      </c>
      <c r="AB23" s="10">
        <f t="shared" si="18"/>
        <v>0.97025888675904504</v>
      </c>
      <c r="AC23" s="18" t="str">
        <f t="shared" si="19"/>
        <v>0.970258886759045,14</v>
      </c>
      <c r="AE23" s="17">
        <v>7</v>
      </c>
      <c r="AF23" s="10">
        <v>12.393659624580119</v>
      </c>
      <c r="AG23" s="10">
        <f t="shared" si="20"/>
        <v>14</v>
      </c>
      <c r="AH23" s="10">
        <f t="shared" si="21"/>
        <v>6.1968298122900594</v>
      </c>
      <c r="AI23" s="18" t="str">
        <f t="shared" si="22"/>
        <v>6.19682981229006,14</v>
      </c>
    </row>
    <row r="24" spans="1:35" ht="18" thickBot="1" x14ac:dyDescent="0.35">
      <c r="A24" s="5" t="s">
        <v>8</v>
      </c>
      <c r="B24" s="5" t="s">
        <v>54</v>
      </c>
      <c r="C24" s="5" t="s">
        <v>97</v>
      </c>
      <c r="D24" s="5" t="s">
        <v>102</v>
      </c>
      <c r="E24" s="5" t="s">
        <v>101</v>
      </c>
      <c r="F24" s="5" t="s">
        <v>100</v>
      </c>
      <c r="G24" s="5" t="s">
        <v>14</v>
      </c>
      <c r="H24" s="5" t="s">
        <v>99</v>
      </c>
      <c r="I24" s="5" t="s">
        <v>98</v>
      </c>
      <c r="J24" s="5" t="s">
        <v>103</v>
      </c>
      <c r="K24" s="5" t="s">
        <v>104</v>
      </c>
      <c r="L24" s="5" t="s">
        <v>105</v>
      </c>
      <c r="M24" s="5" t="s">
        <v>106</v>
      </c>
      <c r="N24" s="5" t="s">
        <v>107</v>
      </c>
      <c r="O24" s="5" t="s">
        <v>108</v>
      </c>
      <c r="P24" s="5" t="s">
        <v>109</v>
      </c>
      <c r="S24" s="17">
        <v>8</v>
      </c>
      <c r="T24" s="10">
        <v>-4.4483451000000001</v>
      </c>
      <c r="U24" s="10">
        <f t="shared" si="14"/>
        <v>16</v>
      </c>
      <c r="V24" s="10">
        <f t="shared" si="15"/>
        <v>-2.22417255</v>
      </c>
      <c r="W24" s="18" t="str">
        <f t="shared" si="16"/>
        <v>-2.22417255,16</v>
      </c>
      <c r="Y24" s="17">
        <v>8</v>
      </c>
      <c r="Z24" s="10">
        <v>2.222393969852233</v>
      </c>
      <c r="AA24" s="10">
        <f t="shared" si="17"/>
        <v>16</v>
      </c>
      <c r="AB24" s="10">
        <f t="shared" si="18"/>
        <v>1.1111969849261165</v>
      </c>
      <c r="AC24" s="18" t="str">
        <f t="shared" si="19"/>
        <v>1.11119698492612,16</v>
      </c>
      <c r="AE24" s="17">
        <v>8</v>
      </c>
      <c r="AF24" s="10">
        <v>11.405106645504429</v>
      </c>
      <c r="AG24" s="10">
        <f t="shared" si="20"/>
        <v>16</v>
      </c>
      <c r="AH24" s="10">
        <f t="shared" si="21"/>
        <v>5.7025533227522143</v>
      </c>
      <c r="AI24" s="18" t="str">
        <f t="shared" si="22"/>
        <v>5.70255332275221,16</v>
      </c>
    </row>
    <row r="25" spans="1:35" x14ac:dyDescent="0.25">
      <c r="A25" s="42">
        <v>0</v>
      </c>
      <c r="B25" s="51">
        <v>0</v>
      </c>
      <c r="C25" s="51" t="s">
        <v>9</v>
      </c>
      <c r="D25" s="2">
        <v>1549.9374600000001</v>
      </c>
      <c r="E25" s="51" t="s">
        <v>9</v>
      </c>
      <c r="F25" s="51" t="s">
        <v>9</v>
      </c>
      <c r="G25" s="51">
        <v>0</v>
      </c>
      <c r="H25" s="2">
        <v>2.2007319000000001</v>
      </c>
      <c r="I25" s="51">
        <f>H25*D25</f>
        <v>3410.9968112269744</v>
      </c>
      <c r="J25" s="51" t="s">
        <v>9</v>
      </c>
      <c r="K25" s="51">
        <v>0</v>
      </c>
      <c r="L25" s="51">
        <v>0</v>
      </c>
      <c r="M25" s="51">
        <f t="shared" ref="M25:M36" si="23">B25*D25</f>
        <v>0</v>
      </c>
      <c r="N25" s="51" t="s">
        <v>9</v>
      </c>
      <c r="O25" s="51">
        <v>0</v>
      </c>
      <c r="P25" s="43">
        <f>H25*L25/2</f>
        <v>0</v>
      </c>
      <c r="S25" s="17">
        <v>9</v>
      </c>
      <c r="T25" s="10">
        <v>-7.7459303000000004</v>
      </c>
      <c r="U25" s="10">
        <f t="shared" si="14"/>
        <v>18</v>
      </c>
      <c r="V25" s="10">
        <f t="shared" si="15"/>
        <v>-3.8729651500000002</v>
      </c>
      <c r="W25" s="18" t="str">
        <f t="shared" si="16"/>
        <v>-3.87296515,18</v>
      </c>
      <c r="Y25" s="17">
        <v>9</v>
      </c>
      <c r="Z25" s="10">
        <v>2.5096242107780027</v>
      </c>
      <c r="AA25" s="10">
        <f t="shared" si="17"/>
        <v>18</v>
      </c>
      <c r="AB25" s="10">
        <f t="shared" si="18"/>
        <v>1.2548121053890013</v>
      </c>
      <c r="AC25" s="18" t="str">
        <f t="shared" si="19"/>
        <v>1.254812105389,18</v>
      </c>
      <c r="AE25" s="17">
        <v>9</v>
      </c>
      <c r="AF25" s="10">
        <v>10.636880017566865</v>
      </c>
      <c r="AG25" s="10">
        <f t="shared" si="20"/>
        <v>18</v>
      </c>
      <c r="AH25" s="10">
        <f t="shared" si="21"/>
        <v>5.3184400087834325</v>
      </c>
      <c r="AI25" s="18" t="str">
        <f t="shared" si="22"/>
        <v>5.31844000878343,18</v>
      </c>
    </row>
    <row r="26" spans="1:35" ht="15.75" thickBot="1" x14ac:dyDescent="0.3">
      <c r="A26" s="17">
        <v>1</v>
      </c>
      <c r="B26" s="10">
        <v>1</v>
      </c>
      <c r="C26" s="10">
        <f>B26-B25</f>
        <v>1</v>
      </c>
      <c r="D26" s="2">
        <v>2724.9839499999998</v>
      </c>
      <c r="E26" s="10">
        <f>D25+D26</f>
        <v>4274.9214099999999</v>
      </c>
      <c r="F26" s="10">
        <f>E26*C26/2</f>
        <v>2137.460705</v>
      </c>
      <c r="G26" s="10">
        <f>G25+F26</f>
        <v>2137.460705</v>
      </c>
      <c r="H26" s="2">
        <v>1.8691306000000001</v>
      </c>
      <c r="I26" s="10">
        <f t="shared" ref="I26:I36" si="24">H26*D26</f>
        <v>5093.3508854538695</v>
      </c>
      <c r="J26" s="10">
        <f t="shared" ref="J26:J36" si="25">I26+I25</f>
        <v>8504.3476966808448</v>
      </c>
      <c r="K26" s="10">
        <f>J26*C26/2</f>
        <v>4252.1738483404224</v>
      </c>
      <c r="L26" s="10">
        <f>L25+K26</f>
        <v>4252.1738483404224</v>
      </c>
      <c r="M26" s="10">
        <f t="shared" si="23"/>
        <v>2724.9839499999998</v>
      </c>
      <c r="N26" s="10">
        <f>M26+M25</f>
        <v>2724.9839499999998</v>
      </c>
      <c r="O26" s="10">
        <f>N26*C26/2</f>
        <v>1362.4919749999999</v>
      </c>
      <c r="P26" s="71">
        <f>P25+O26/2</f>
        <v>681.24598749999996</v>
      </c>
      <c r="S26" s="19">
        <v>10</v>
      </c>
      <c r="T26" s="34">
        <v>-10.0798054</v>
      </c>
      <c r="U26" s="34">
        <f t="shared" si="14"/>
        <v>20</v>
      </c>
      <c r="V26" s="34">
        <f>T26/2</f>
        <v>-5.0399026999999998</v>
      </c>
      <c r="W26" s="20" t="str">
        <f t="shared" si="16"/>
        <v>-5.0399027,20</v>
      </c>
      <c r="Y26" s="19">
        <v>10</v>
      </c>
      <c r="Z26" s="34">
        <v>2.8023800788609505</v>
      </c>
      <c r="AA26" s="34">
        <f t="shared" si="17"/>
        <v>20</v>
      </c>
      <c r="AB26" s="34">
        <f t="shared" si="18"/>
        <v>1.4011900394304753</v>
      </c>
      <c r="AC26" s="20" t="str">
        <f t="shared" si="19"/>
        <v>1.40119003943048,20</v>
      </c>
      <c r="AE26" s="19">
        <v>10</v>
      </c>
      <c r="AF26" s="34">
        <v>9.9926250089633708</v>
      </c>
      <c r="AG26" s="34">
        <f t="shared" si="20"/>
        <v>20</v>
      </c>
      <c r="AH26" s="34">
        <f t="shared" si="21"/>
        <v>4.9963125044816854</v>
      </c>
      <c r="AI26" s="20" t="str">
        <f t="shared" si="22"/>
        <v>4.99631250448169,20</v>
      </c>
    </row>
    <row r="27" spans="1:35" x14ac:dyDescent="0.25">
      <c r="A27" s="17">
        <v>2</v>
      </c>
      <c r="B27" s="10">
        <v>2</v>
      </c>
      <c r="C27" s="10">
        <f t="shared" ref="C27:C35" si="26">B27-B26</f>
        <v>1</v>
      </c>
      <c r="D27" s="2">
        <v>3134.5440899999999</v>
      </c>
      <c r="E27" s="10">
        <f t="shared" ref="E27:E36" si="27">D26+D27</f>
        <v>5859.5280399999992</v>
      </c>
      <c r="F27" s="10">
        <f t="shared" ref="F27:F36" si="28">E27*C27/2</f>
        <v>2929.7640199999996</v>
      </c>
      <c r="G27" s="10">
        <f t="shared" ref="G27:G36" si="29">G26+F27</f>
        <v>5067.224725</v>
      </c>
      <c r="H27" s="2">
        <v>1.8739265000000001</v>
      </c>
      <c r="I27" s="10">
        <f t="shared" si="24"/>
        <v>5873.9052356693846</v>
      </c>
      <c r="J27" s="10">
        <f t="shared" si="25"/>
        <v>10967.256121123253</v>
      </c>
      <c r="K27" s="10">
        <f t="shared" ref="K27:K36" si="30">J27*C27/2</f>
        <v>5483.6280605616266</v>
      </c>
      <c r="L27" s="10">
        <f t="shared" ref="L27:L36" si="31">L26+K27</f>
        <v>9735.801908902049</v>
      </c>
      <c r="M27" s="10">
        <f t="shared" si="23"/>
        <v>6269.0881799999997</v>
      </c>
      <c r="N27" s="10">
        <f t="shared" ref="N27:N36" si="32">M27+M26</f>
        <v>8994.0721300000005</v>
      </c>
      <c r="O27" s="10">
        <f t="shared" ref="O27:O36" si="33">N27*C27/2</f>
        <v>4497.0360650000002</v>
      </c>
      <c r="P27" s="71">
        <f t="shared" ref="P27:P36" si="34">P26+O27/2</f>
        <v>2929.7640200000001</v>
      </c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</row>
    <row r="28" spans="1:35" ht="15.75" thickBot="1" x14ac:dyDescent="0.3">
      <c r="A28" s="17">
        <v>3</v>
      </c>
      <c r="B28" s="10">
        <v>3</v>
      </c>
      <c r="C28" s="10">
        <f t="shared" si="26"/>
        <v>1</v>
      </c>
      <c r="D28" s="2">
        <v>3414.3618900000001</v>
      </c>
      <c r="E28" s="10">
        <f t="shared" si="27"/>
        <v>6548.9059799999995</v>
      </c>
      <c r="F28" s="10">
        <f t="shared" si="28"/>
        <v>3274.4529899999998</v>
      </c>
      <c r="G28" s="10">
        <f t="shared" si="29"/>
        <v>8341.6777149999998</v>
      </c>
      <c r="H28" s="2">
        <v>1.8562689999999999</v>
      </c>
      <c r="I28" s="10">
        <f t="shared" si="24"/>
        <v>6337.97413118841</v>
      </c>
      <c r="J28" s="10">
        <f t="shared" si="25"/>
        <v>12211.879366857795</v>
      </c>
      <c r="K28" s="10">
        <f t="shared" si="30"/>
        <v>6105.9396834288973</v>
      </c>
      <c r="L28" s="10">
        <f t="shared" si="31"/>
        <v>15841.741592330945</v>
      </c>
      <c r="M28" s="10">
        <f t="shared" si="23"/>
        <v>10243.08567</v>
      </c>
      <c r="N28" s="10">
        <f t="shared" si="32"/>
        <v>16512.173849999999</v>
      </c>
      <c r="O28" s="10">
        <f t="shared" si="33"/>
        <v>8256.0869249999996</v>
      </c>
      <c r="P28" s="71">
        <f t="shared" si="34"/>
        <v>7057.8074825000003</v>
      </c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</row>
    <row r="29" spans="1:35" ht="18" thickBot="1" x14ac:dyDescent="0.35">
      <c r="A29" s="17">
        <v>4</v>
      </c>
      <c r="B29" s="10">
        <v>4</v>
      </c>
      <c r="C29" s="10">
        <f t="shared" si="26"/>
        <v>1</v>
      </c>
      <c r="D29" s="2">
        <v>3627.0432099999998</v>
      </c>
      <c r="E29" s="10">
        <f t="shared" si="27"/>
        <v>7041.4050999999999</v>
      </c>
      <c r="F29" s="10">
        <f t="shared" si="28"/>
        <v>3520.70255</v>
      </c>
      <c r="G29" s="10">
        <f t="shared" si="29"/>
        <v>11862.380265</v>
      </c>
      <c r="H29" s="2">
        <v>1.7301853</v>
      </c>
      <c r="I29" s="10">
        <f t="shared" si="24"/>
        <v>6275.4568444068127</v>
      </c>
      <c r="J29" s="10">
        <f t="shared" si="25"/>
        <v>12613.430975595224</v>
      </c>
      <c r="K29" s="10">
        <f t="shared" si="30"/>
        <v>6306.7154877976118</v>
      </c>
      <c r="L29" s="10">
        <f t="shared" si="31"/>
        <v>22148.457080128559</v>
      </c>
      <c r="M29" s="10">
        <f t="shared" si="23"/>
        <v>14508.172839999999</v>
      </c>
      <c r="N29" s="10">
        <f t="shared" si="32"/>
        <v>24751.25851</v>
      </c>
      <c r="O29" s="10">
        <f t="shared" si="33"/>
        <v>12375.629255</v>
      </c>
      <c r="P29" s="71">
        <f t="shared" si="34"/>
        <v>13245.62211</v>
      </c>
      <c r="S29" s="5" t="s">
        <v>4</v>
      </c>
      <c r="T29" s="5" t="s">
        <v>134</v>
      </c>
      <c r="U29" s="5" t="s">
        <v>140</v>
      </c>
      <c r="V29" s="5" t="s">
        <v>141</v>
      </c>
      <c r="W29" s="5" t="s">
        <v>120</v>
      </c>
      <c r="X29" s="60"/>
      <c r="Y29" s="5" t="s">
        <v>4</v>
      </c>
      <c r="Z29" s="5" t="s">
        <v>132</v>
      </c>
      <c r="AA29" s="5" t="s">
        <v>142</v>
      </c>
      <c r="AB29" s="5" t="s">
        <v>143</v>
      </c>
      <c r="AC29" s="5" t="s">
        <v>120</v>
      </c>
      <c r="AD29" s="60"/>
      <c r="AE29" s="5" t="s">
        <v>4</v>
      </c>
      <c r="AF29" s="5" t="s">
        <v>48</v>
      </c>
      <c r="AG29" s="5" t="s">
        <v>128</v>
      </c>
      <c r="AH29" s="5" t="s">
        <v>131</v>
      </c>
      <c r="AI29" s="5" t="s">
        <v>120</v>
      </c>
    </row>
    <row r="30" spans="1:35" x14ac:dyDescent="0.25">
      <c r="A30" s="17">
        <v>5</v>
      </c>
      <c r="B30" s="10">
        <v>5</v>
      </c>
      <c r="C30" s="10">
        <f t="shared" si="26"/>
        <v>1</v>
      </c>
      <c r="D30" s="2">
        <v>3815.61058</v>
      </c>
      <c r="E30" s="10">
        <f t="shared" si="27"/>
        <v>7442.6537900000003</v>
      </c>
      <c r="F30" s="10">
        <f t="shared" si="28"/>
        <v>3721.3268950000001</v>
      </c>
      <c r="G30" s="10">
        <f t="shared" si="29"/>
        <v>15583.70716</v>
      </c>
      <c r="H30" s="2">
        <v>1.1569062000000001</v>
      </c>
      <c r="I30" s="10">
        <f t="shared" si="24"/>
        <v>4414.3035367875964</v>
      </c>
      <c r="J30" s="10">
        <f t="shared" si="25"/>
        <v>10689.76038119441</v>
      </c>
      <c r="K30" s="10">
        <f t="shared" si="30"/>
        <v>5344.880190597205</v>
      </c>
      <c r="L30" s="10">
        <f t="shared" si="31"/>
        <v>27493.337270725766</v>
      </c>
      <c r="M30" s="10">
        <f t="shared" si="23"/>
        <v>19078.052899999999</v>
      </c>
      <c r="N30" s="10">
        <f t="shared" si="32"/>
        <v>33586.225739999994</v>
      </c>
      <c r="O30" s="10">
        <f t="shared" si="33"/>
        <v>16793.112869999997</v>
      </c>
      <c r="P30" s="71">
        <f t="shared" si="34"/>
        <v>21642.178544999999</v>
      </c>
      <c r="S30" s="42">
        <v>0</v>
      </c>
      <c r="T30" s="51">
        <v>0</v>
      </c>
      <c r="U30" s="51">
        <f>S30*2</f>
        <v>0</v>
      </c>
      <c r="V30" s="51">
        <f>T30/2</f>
        <v>0</v>
      </c>
      <c r="W30" s="43" t="str">
        <f>CONCATENATE(V30,",",U30)</f>
        <v>0,0</v>
      </c>
      <c r="Y30" s="42">
        <v>0</v>
      </c>
      <c r="Z30" s="51">
        <v>46303.76124</v>
      </c>
      <c r="AA30" s="51">
        <f>Y30*2</f>
        <v>0</v>
      </c>
      <c r="AB30" s="51">
        <f>Z30/15000</f>
        <v>3.0869174159999999</v>
      </c>
      <c r="AC30" s="43" t="str">
        <f>CONCATENATE(AB30,",",AA30)</f>
        <v>3.086917416,0</v>
      </c>
      <c r="AE30" s="42">
        <v>0</v>
      </c>
      <c r="AF30" s="51">
        <v>0</v>
      </c>
      <c r="AG30" s="51">
        <f>AE30*2</f>
        <v>0</v>
      </c>
      <c r="AH30" s="51">
        <f>AF30/100</f>
        <v>0</v>
      </c>
      <c r="AI30" s="43" t="str">
        <f>CONCATENATE(AH30,",",AG30)</f>
        <v>0,0</v>
      </c>
    </row>
    <row r="31" spans="1:35" x14ac:dyDescent="0.25">
      <c r="A31" s="17">
        <v>6</v>
      </c>
      <c r="B31" s="10">
        <v>6</v>
      </c>
      <c r="C31" s="10">
        <f t="shared" si="26"/>
        <v>1</v>
      </c>
      <c r="D31" s="2">
        <v>4006.2673799999998</v>
      </c>
      <c r="E31" s="10">
        <f t="shared" si="27"/>
        <v>7821.8779599999998</v>
      </c>
      <c r="F31" s="10">
        <f t="shared" si="28"/>
        <v>3910.9389799999999</v>
      </c>
      <c r="G31" s="10">
        <f t="shared" si="29"/>
        <v>19494.646140000001</v>
      </c>
      <c r="H31" s="2">
        <v>9.3913999999999994E-3</v>
      </c>
      <c r="I31" s="10">
        <f t="shared" si="24"/>
        <v>37.624459472531996</v>
      </c>
      <c r="J31" s="10">
        <f t="shared" si="25"/>
        <v>4451.9279962601286</v>
      </c>
      <c r="K31" s="10">
        <f t="shared" si="30"/>
        <v>2225.9639981300643</v>
      </c>
      <c r="L31" s="10">
        <f t="shared" si="31"/>
        <v>29719.30126885583</v>
      </c>
      <c r="M31" s="10">
        <f t="shared" si="23"/>
        <v>24037.60428</v>
      </c>
      <c r="N31" s="10">
        <f t="shared" si="32"/>
        <v>43115.657179999995</v>
      </c>
      <c r="O31" s="10">
        <f t="shared" si="33"/>
        <v>21557.828589999997</v>
      </c>
      <c r="P31" s="71">
        <f t="shared" si="34"/>
        <v>32421.092839999998</v>
      </c>
      <c r="S31" s="17">
        <v>1</v>
      </c>
      <c r="T31" s="10">
        <v>1.9923364371535606</v>
      </c>
      <c r="U31" s="10">
        <f t="shared" ref="U31:U40" si="35">S31*2</f>
        <v>2</v>
      </c>
      <c r="V31" s="10">
        <f>T31/2</f>
        <v>0.99616821857678028</v>
      </c>
      <c r="W31" s="18" t="str">
        <f t="shared" ref="W31:W40" si="36">CONCATENATE(V31,",",U31)</f>
        <v>0.99616821857678,2</v>
      </c>
      <c r="Y31" s="17">
        <v>1</v>
      </c>
      <c r="Z31" s="10">
        <v>125811.32369999999</v>
      </c>
      <c r="AA31" s="10">
        <f t="shared" ref="AA31:AA40" si="37">Y31*2</f>
        <v>2</v>
      </c>
      <c r="AB31" s="51">
        <f t="shared" ref="AB31:AB40" si="38">Z31/15000</f>
        <v>8.3874215799999998</v>
      </c>
      <c r="AC31" s="18" t="str">
        <f t="shared" ref="AC31:AC40" si="39">CONCATENATE(AB31,",",AA31)</f>
        <v>8.38742158,2</v>
      </c>
      <c r="AE31" s="17">
        <v>1</v>
      </c>
      <c r="AF31" s="10">
        <v>1455.1061110000001</v>
      </c>
      <c r="AG31" s="10">
        <f t="shared" ref="AG31:AG40" si="40">AE31*2</f>
        <v>2</v>
      </c>
      <c r="AH31" s="51">
        <f t="shared" ref="AH31:AH40" si="41">AF31/100</f>
        <v>14.551061110000001</v>
      </c>
      <c r="AI31" s="18" t="str">
        <f t="shared" ref="AI31:AI40" si="42">CONCATENATE(AH31,",",AG31)</f>
        <v>14.55106111,2</v>
      </c>
    </row>
    <row r="32" spans="1:35" x14ac:dyDescent="0.25">
      <c r="A32" s="17">
        <v>7</v>
      </c>
      <c r="B32" s="10">
        <v>7</v>
      </c>
      <c r="C32" s="10">
        <f t="shared" si="26"/>
        <v>1</v>
      </c>
      <c r="D32" s="2">
        <v>4214.6423800000002</v>
      </c>
      <c r="E32" s="10">
        <f t="shared" si="27"/>
        <v>8220.9097600000005</v>
      </c>
      <c r="F32" s="10">
        <f t="shared" si="28"/>
        <v>4110.4548800000002</v>
      </c>
      <c r="G32" s="10">
        <f t="shared" si="29"/>
        <v>23605.101020000002</v>
      </c>
      <c r="H32" s="2">
        <v>-1.8071018000000001</v>
      </c>
      <c r="I32" s="10">
        <f t="shared" si="24"/>
        <v>-7616.2878312542844</v>
      </c>
      <c r="J32" s="10">
        <f t="shared" si="25"/>
        <v>-7578.6633717817522</v>
      </c>
      <c r="K32" s="10">
        <f t="shared" si="30"/>
        <v>-3789.3316858908761</v>
      </c>
      <c r="L32" s="10">
        <f t="shared" si="31"/>
        <v>25929.969582964954</v>
      </c>
      <c r="M32" s="10">
        <f t="shared" si="23"/>
        <v>29502.496660000001</v>
      </c>
      <c r="N32" s="10">
        <f t="shared" si="32"/>
        <v>53540.100940000004</v>
      </c>
      <c r="O32" s="10">
        <f t="shared" si="33"/>
        <v>26770.050470000002</v>
      </c>
      <c r="P32" s="71">
        <f t="shared" si="34"/>
        <v>45806.118074999998</v>
      </c>
      <c r="S32" s="17">
        <v>2</v>
      </c>
      <c r="T32" s="10">
        <v>1.9245129500987406</v>
      </c>
      <c r="U32" s="10">
        <f t="shared" si="35"/>
        <v>4</v>
      </c>
      <c r="V32" s="10">
        <f t="shared" ref="V32:V40" si="43">T32/2</f>
        <v>0.96225647504937029</v>
      </c>
      <c r="W32" s="18" t="str">
        <f t="shared" si="36"/>
        <v>0.96225647504937,4</v>
      </c>
      <c r="Y32" s="17">
        <v>2</v>
      </c>
      <c r="Z32" s="10">
        <v>166562.78779999999</v>
      </c>
      <c r="AA32" s="10">
        <f t="shared" si="37"/>
        <v>4</v>
      </c>
      <c r="AB32" s="51">
        <f t="shared" si="38"/>
        <v>11.104185853333332</v>
      </c>
      <c r="AC32" s="18" t="str">
        <f t="shared" si="39"/>
        <v>11.1041858533333,4</v>
      </c>
      <c r="AE32" s="17">
        <v>2</v>
      </c>
      <c r="AF32" s="10">
        <v>789.8433698</v>
      </c>
      <c r="AG32" s="10">
        <f t="shared" si="40"/>
        <v>4</v>
      </c>
      <c r="AH32" s="51">
        <f t="shared" si="41"/>
        <v>7.8984336979999998</v>
      </c>
      <c r="AI32" s="18" t="str">
        <f t="shared" si="42"/>
        <v>7.898433698,4</v>
      </c>
    </row>
    <row r="33" spans="1:35" x14ac:dyDescent="0.25">
      <c r="A33" s="17">
        <v>8</v>
      </c>
      <c r="B33" s="10">
        <v>8</v>
      </c>
      <c r="C33" s="10">
        <f t="shared" si="26"/>
        <v>1</v>
      </c>
      <c r="D33" s="2">
        <v>4456.9941399999998</v>
      </c>
      <c r="E33" s="10">
        <f t="shared" si="27"/>
        <v>8671.63652</v>
      </c>
      <c r="F33" s="10">
        <f t="shared" si="28"/>
        <v>4335.81826</v>
      </c>
      <c r="G33" s="10">
        <f t="shared" si="29"/>
        <v>27940.919280000002</v>
      </c>
      <c r="H33" s="2">
        <v>-4.4483451000000001</v>
      </c>
      <c r="I33" s="10">
        <f t="shared" si="24"/>
        <v>-19826.248043397714</v>
      </c>
      <c r="J33" s="10">
        <f t="shared" si="25"/>
        <v>-27442.535874652</v>
      </c>
      <c r="K33" s="10">
        <f t="shared" si="30"/>
        <v>-13721.267937326</v>
      </c>
      <c r="L33" s="10">
        <f t="shared" si="31"/>
        <v>12208.701645638954</v>
      </c>
      <c r="M33" s="10">
        <f t="shared" si="23"/>
        <v>35655.953119999998</v>
      </c>
      <c r="N33" s="10">
        <f t="shared" si="32"/>
        <v>65158.449779999995</v>
      </c>
      <c r="O33" s="10">
        <f t="shared" si="33"/>
        <v>32579.224889999998</v>
      </c>
      <c r="P33" s="71">
        <f t="shared" si="34"/>
        <v>62095.730519999997</v>
      </c>
      <c r="S33" s="17">
        <v>3</v>
      </c>
      <c r="T33" s="10">
        <v>1.9024720614971855</v>
      </c>
      <c r="U33" s="10">
        <f t="shared" si="35"/>
        <v>6</v>
      </c>
      <c r="V33" s="10">
        <f t="shared" si="43"/>
        <v>0.95123603074859275</v>
      </c>
      <c r="W33" s="18" t="str">
        <f t="shared" si="36"/>
        <v>0.951236030748593,6</v>
      </c>
      <c r="Y33" s="17">
        <v>3</v>
      </c>
      <c r="Z33" s="10">
        <v>199110.17989999999</v>
      </c>
      <c r="AA33" s="10">
        <f t="shared" si="37"/>
        <v>6</v>
      </c>
      <c r="AB33" s="51">
        <f t="shared" si="38"/>
        <v>13.274011993333332</v>
      </c>
      <c r="AC33" s="18" t="str">
        <f t="shared" si="39"/>
        <v>13.2740119933333,6</v>
      </c>
      <c r="AE33" s="17">
        <v>3</v>
      </c>
      <c r="AF33" s="10">
        <v>553.63869720000002</v>
      </c>
      <c r="AG33" s="10">
        <f t="shared" si="40"/>
        <v>6</v>
      </c>
      <c r="AH33" s="51">
        <f t="shared" si="41"/>
        <v>5.5363869719999999</v>
      </c>
      <c r="AI33" s="18" t="str">
        <f t="shared" si="42"/>
        <v>5.536386972,6</v>
      </c>
    </row>
    <row r="34" spans="1:35" x14ac:dyDescent="0.25">
      <c r="A34" s="17">
        <v>9</v>
      </c>
      <c r="B34" s="10">
        <v>9</v>
      </c>
      <c r="C34" s="10">
        <f t="shared" si="26"/>
        <v>1</v>
      </c>
      <c r="D34" s="2">
        <v>4726.9253600000002</v>
      </c>
      <c r="E34" s="10">
        <f t="shared" si="27"/>
        <v>9183.9195</v>
      </c>
      <c r="F34" s="10">
        <f t="shared" si="28"/>
        <v>4591.95975</v>
      </c>
      <c r="G34" s="10">
        <f t="shared" si="29"/>
        <v>32532.879030000004</v>
      </c>
      <c r="H34" s="2">
        <v>-7.7459303000000004</v>
      </c>
      <c r="I34" s="10">
        <f t="shared" si="24"/>
        <v>-36614.434371862408</v>
      </c>
      <c r="J34" s="10">
        <f t="shared" si="25"/>
        <v>-56440.682415260118</v>
      </c>
      <c r="K34" s="10">
        <f t="shared" si="30"/>
        <v>-28220.341207630059</v>
      </c>
      <c r="L34" s="10">
        <f t="shared" si="31"/>
        <v>-16011.639561991105</v>
      </c>
      <c r="M34" s="10">
        <f t="shared" si="23"/>
        <v>42542.328240000003</v>
      </c>
      <c r="N34" s="10">
        <f t="shared" si="32"/>
        <v>78198.281359999994</v>
      </c>
      <c r="O34" s="10">
        <f t="shared" si="33"/>
        <v>39099.140679999997</v>
      </c>
      <c r="P34" s="71">
        <f t="shared" si="34"/>
        <v>81645.300859999988</v>
      </c>
      <c r="S34" s="17">
        <v>4</v>
      </c>
      <c r="T34" s="10">
        <v>1.8708630471897354</v>
      </c>
      <c r="U34" s="10">
        <f t="shared" si="35"/>
        <v>8</v>
      </c>
      <c r="V34" s="10">
        <f t="shared" si="43"/>
        <v>0.9354315235948677</v>
      </c>
      <c r="W34" s="18" t="str">
        <f t="shared" si="36"/>
        <v>0.935431523594868,8</v>
      </c>
      <c r="Y34" s="17">
        <v>4</v>
      </c>
      <c r="Z34" s="10">
        <v>224305.4921</v>
      </c>
      <c r="AA34" s="10">
        <f t="shared" si="37"/>
        <v>8</v>
      </c>
      <c r="AB34" s="51">
        <f t="shared" si="38"/>
        <v>14.953699473333334</v>
      </c>
      <c r="AC34" s="18" t="str">
        <f t="shared" si="39"/>
        <v>14.9536994733333,8</v>
      </c>
      <c r="AE34" s="17">
        <v>4</v>
      </c>
      <c r="AF34" s="10">
        <v>431.04230769999998</v>
      </c>
      <c r="AG34" s="10">
        <f t="shared" si="40"/>
        <v>8</v>
      </c>
      <c r="AH34" s="51">
        <f t="shared" si="41"/>
        <v>4.3104230769999994</v>
      </c>
      <c r="AI34" s="18" t="str">
        <f t="shared" si="42"/>
        <v>4.310423077,8</v>
      </c>
    </row>
    <row r="35" spans="1:35" x14ac:dyDescent="0.25">
      <c r="A35" s="17">
        <v>10</v>
      </c>
      <c r="B35" s="10">
        <v>10</v>
      </c>
      <c r="C35" s="10">
        <f t="shared" si="26"/>
        <v>1</v>
      </c>
      <c r="D35" s="2">
        <v>5016.27225</v>
      </c>
      <c r="E35" s="10">
        <f t="shared" si="27"/>
        <v>9743.1976099999993</v>
      </c>
      <c r="F35" s="10">
        <f t="shared" si="28"/>
        <v>4871.5988049999996</v>
      </c>
      <c r="G35" s="10">
        <f t="shared" si="29"/>
        <v>37404.477835000005</v>
      </c>
      <c r="H35" s="2">
        <v>-10.0798054</v>
      </c>
      <c r="I35" s="10">
        <f t="shared" si="24"/>
        <v>-50563.048113420147</v>
      </c>
      <c r="J35" s="10">
        <f t="shared" si="25"/>
        <v>-87177.482485282555</v>
      </c>
      <c r="K35" s="10">
        <f t="shared" si="30"/>
        <v>-43588.741242641277</v>
      </c>
      <c r="L35" s="10">
        <f t="shared" si="31"/>
        <v>-59600.380804632383</v>
      </c>
      <c r="M35" s="10">
        <f t="shared" si="23"/>
        <v>50162.722500000003</v>
      </c>
      <c r="N35" s="10">
        <f t="shared" si="32"/>
        <v>92705.050740000006</v>
      </c>
      <c r="O35" s="10">
        <f t="shared" si="33"/>
        <v>46352.525370000003</v>
      </c>
      <c r="P35" s="71">
        <f t="shared" si="34"/>
        <v>104821.56354499998</v>
      </c>
      <c r="S35" s="17">
        <v>5</v>
      </c>
      <c r="T35" s="10">
        <v>1.7682885316965282</v>
      </c>
      <c r="U35" s="10">
        <f t="shared" si="35"/>
        <v>10</v>
      </c>
      <c r="V35" s="10">
        <f t="shared" si="43"/>
        <v>0.88414426584826411</v>
      </c>
      <c r="W35" s="18" t="str">
        <f t="shared" si="36"/>
        <v>0.884144265848264,10</v>
      </c>
      <c r="Y35" s="17">
        <v>5</v>
      </c>
      <c r="Z35" s="10">
        <v>246825.6109</v>
      </c>
      <c r="AA35" s="10">
        <f t="shared" si="37"/>
        <v>10</v>
      </c>
      <c r="AB35" s="51">
        <f t="shared" si="38"/>
        <v>16.455040726666667</v>
      </c>
      <c r="AC35" s="18" t="str">
        <f t="shared" si="39"/>
        <v>16.4550407266667,10</v>
      </c>
      <c r="AE35" s="17">
        <v>5</v>
      </c>
      <c r="AF35" s="10">
        <v>359.9775793</v>
      </c>
      <c r="AG35" s="10">
        <f t="shared" si="40"/>
        <v>10</v>
      </c>
      <c r="AH35" s="51">
        <f t="shared" si="41"/>
        <v>3.5997757930000001</v>
      </c>
      <c r="AI35" s="18" t="str">
        <f t="shared" si="42"/>
        <v>3.599775793,10</v>
      </c>
    </row>
    <row r="36" spans="1:35" ht="15.75" thickBot="1" x14ac:dyDescent="0.3">
      <c r="A36" s="53">
        <v>11</v>
      </c>
      <c r="B36" s="10">
        <v>11</v>
      </c>
      <c r="C36" s="10">
        <v>1</v>
      </c>
      <c r="D36" s="2">
        <v>5224.0565999999999</v>
      </c>
      <c r="E36" s="10">
        <f t="shared" si="27"/>
        <v>10240.32885</v>
      </c>
      <c r="F36" s="10">
        <f t="shared" si="28"/>
        <v>5120.1644249999999</v>
      </c>
      <c r="G36" s="10">
        <f t="shared" si="29"/>
        <v>42524.642260000008</v>
      </c>
      <c r="H36" s="2">
        <v>-10.572468300000001</v>
      </c>
      <c r="I36" s="10">
        <f t="shared" si="24"/>
        <v>-55231.172800905784</v>
      </c>
      <c r="J36" s="10">
        <f t="shared" si="25"/>
        <v>-105794.22091432594</v>
      </c>
      <c r="K36" s="10">
        <f t="shared" si="30"/>
        <v>-52897.110457162969</v>
      </c>
      <c r="L36" s="10">
        <f t="shared" si="31"/>
        <v>-112497.49126179535</v>
      </c>
      <c r="M36" s="10">
        <f t="shared" si="23"/>
        <v>57464.622600000002</v>
      </c>
      <c r="N36" s="10">
        <f t="shared" si="32"/>
        <v>107627.34510000001</v>
      </c>
      <c r="O36" s="10">
        <f t="shared" si="33"/>
        <v>53813.672550000003</v>
      </c>
      <c r="P36" s="71">
        <f t="shared" si="34"/>
        <v>131728.39981999999</v>
      </c>
      <c r="S36" s="17">
        <v>6</v>
      </c>
      <c r="T36" s="10">
        <v>1.5285320252869039</v>
      </c>
      <c r="U36" s="10">
        <f t="shared" si="35"/>
        <v>12</v>
      </c>
      <c r="V36" s="10">
        <f t="shared" si="43"/>
        <v>0.76426601264345195</v>
      </c>
      <c r="W36" s="18" t="str">
        <f t="shared" si="36"/>
        <v>0.764266012643452,12</v>
      </c>
      <c r="Y36" s="17">
        <v>6</v>
      </c>
      <c r="Z36" s="10">
        <v>268352.37070000003</v>
      </c>
      <c r="AA36" s="10">
        <f t="shared" si="37"/>
        <v>12</v>
      </c>
      <c r="AB36" s="51">
        <f t="shared" si="38"/>
        <v>17.89015804666667</v>
      </c>
      <c r="AC36" s="18" t="str">
        <f t="shared" si="39"/>
        <v>17.8901580466667,12</v>
      </c>
      <c r="AE36" s="17">
        <v>6</v>
      </c>
      <c r="AF36" s="10">
        <v>316.90132949999997</v>
      </c>
      <c r="AG36" s="10">
        <f t="shared" si="40"/>
        <v>12</v>
      </c>
      <c r="AH36" s="51">
        <f t="shared" si="41"/>
        <v>3.1690132949999996</v>
      </c>
      <c r="AI36" s="18" t="str">
        <f t="shared" si="42"/>
        <v>3.169013295,12</v>
      </c>
    </row>
    <row r="37" spans="1:35" ht="15.75" thickBot="1" x14ac:dyDescent="0.3">
      <c r="A37" s="5" t="s">
        <v>95</v>
      </c>
      <c r="B37" s="72"/>
      <c r="C37" s="34"/>
      <c r="D37" s="34"/>
      <c r="E37" s="34"/>
      <c r="F37" s="34"/>
      <c r="G37" s="34">
        <f>SUM(G25:G36)</f>
        <v>226495.11613500002</v>
      </c>
      <c r="H37" s="34"/>
      <c r="I37" s="34"/>
      <c r="J37" s="34"/>
      <c r="K37" s="34"/>
      <c r="L37" s="34">
        <f>SUM(L25:L36)</f>
        <v>-40780.027430531351</v>
      </c>
      <c r="M37" s="34"/>
      <c r="N37" s="34"/>
      <c r="O37" s="34"/>
      <c r="P37" s="73">
        <f>SUM(P25:P36)</f>
        <v>504074.82380499993</v>
      </c>
      <c r="S37" s="17">
        <v>7</v>
      </c>
      <c r="T37" s="10">
        <v>1.1018235573907929</v>
      </c>
      <c r="U37" s="10">
        <f t="shared" si="35"/>
        <v>14</v>
      </c>
      <c r="V37" s="10">
        <f t="shared" si="43"/>
        <v>0.55091177869539643</v>
      </c>
      <c r="W37" s="18" t="str">
        <f t="shared" si="36"/>
        <v>0.550911778695396,14</v>
      </c>
      <c r="Y37" s="17">
        <v>7</v>
      </c>
      <c r="Z37" s="10">
        <v>291668.49349999998</v>
      </c>
      <c r="AA37" s="10">
        <f t="shared" si="37"/>
        <v>14</v>
      </c>
      <c r="AB37" s="51">
        <f t="shared" si="38"/>
        <v>19.444566233333333</v>
      </c>
      <c r="AC37" s="18" t="str">
        <f t="shared" si="39"/>
        <v>19.4445662333333,14</v>
      </c>
      <c r="AE37" s="17">
        <v>7</v>
      </c>
      <c r="AF37" s="10">
        <v>292.49885860000001</v>
      </c>
      <c r="AG37" s="10">
        <f t="shared" si="40"/>
        <v>14</v>
      </c>
      <c r="AH37" s="51">
        <f t="shared" si="41"/>
        <v>2.924988586</v>
      </c>
      <c r="AI37" s="18" t="str">
        <f t="shared" si="42"/>
        <v>2.924988586,14</v>
      </c>
    </row>
    <row r="38" spans="1:35" x14ac:dyDescent="0.25">
      <c r="S38" s="17">
        <v>8</v>
      </c>
      <c r="T38" s="10">
        <v>0.43838601924528381</v>
      </c>
      <c r="U38" s="10">
        <f t="shared" si="35"/>
        <v>16</v>
      </c>
      <c r="V38" s="10">
        <f t="shared" si="43"/>
        <v>0.2191930096226419</v>
      </c>
      <c r="W38" s="18" t="str">
        <f t="shared" si="36"/>
        <v>0.219193009622642,16</v>
      </c>
      <c r="Y38" s="17">
        <v>8</v>
      </c>
      <c r="Z38" s="10">
        <v>317623.14069999999</v>
      </c>
      <c r="AA38" s="10">
        <f t="shared" si="37"/>
        <v>16</v>
      </c>
      <c r="AB38" s="51">
        <f t="shared" si="38"/>
        <v>21.174876046666665</v>
      </c>
      <c r="AC38" s="18" t="str">
        <f t="shared" si="39"/>
        <v>21.1748760466667,16</v>
      </c>
      <c r="AE38" s="17">
        <v>8</v>
      </c>
      <c r="AF38" s="10">
        <v>283.07096719999998</v>
      </c>
      <c r="AG38" s="10">
        <f t="shared" si="40"/>
        <v>16</v>
      </c>
      <c r="AH38" s="51">
        <f t="shared" si="41"/>
        <v>2.8307096719999998</v>
      </c>
      <c r="AI38" s="18" t="str">
        <f t="shared" si="42"/>
        <v>2.830709672,16</v>
      </c>
    </row>
    <row r="39" spans="1:35" x14ac:dyDescent="0.25">
      <c r="S39" s="17">
        <v>9</v>
      </c>
      <c r="T39" s="10">
        <v>-0.49384977490703291</v>
      </c>
      <c r="U39" s="10">
        <f t="shared" si="35"/>
        <v>18</v>
      </c>
      <c r="V39" s="10">
        <f t="shared" si="43"/>
        <v>-0.24692488745351646</v>
      </c>
      <c r="W39" s="18" t="str">
        <f t="shared" si="36"/>
        <v>-0.246924887453516,18</v>
      </c>
      <c r="Y39" s="17">
        <v>9</v>
      </c>
      <c r="Z39" s="10">
        <v>344869.83199999999</v>
      </c>
      <c r="AA39" s="10">
        <f t="shared" si="37"/>
        <v>18</v>
      </c>
      <c r="AB39" s="51">
        <f t="shared" si="38"/>
        <v>22.991322133333334</v>
      </c>
      <c r="AC39" s="18" t="str">
        <f t="shared" si="39"/>
        <v>22.9913221333333,18</v>
      </c>
      <c r="AE39" s="17">
        <v>9</v>
      </c>
      <c r="AF39" s="10">
        <v>24.827671519999999</v>
      </c>
      <c r="AG39" s="10">
        <f t="shared" si="40"/>
        <v>18</v>
      </c>
      <c r="AH39" s="51">
        <f t="shared" si="41"/>
        <v>0.2482767152</v>
      </c>
      <c r="AI39" s="18" t="str">
        <f t="shared" si="42"/>
        <v>0.2482767152,18</v>
      </c>
    </row>
    <row r="40" spans="1:35" ht="15.75" thickBot="1" x14ac:dyDescent="0.3">
      <c r="S40" s="19">
        <v>10</v>
      </c>
      <c r="T40" s="34">
        <v>-1.5987742159618052</v>
      </c>
      <c r="U40" s="34">
        <f t="shared" si="35"/>
        <v>20</v>
      </c>
      <c r="V40" s="34">
        <f t="shared" si="43"/>
        <v>-0.79938710798090262</v>
      </c>
      <c r="W40" s="20" t="str">
        <f t="shared" si="36"/>
        <v>-0.799387107980903,20</v>
      </c>
      <c r="Y40" s="19">
        <v>10</v>
      </c>
      <c r="Z40" s="34">
        <v>372513.0477</v>
      </c>
      <c r="AA40" s="34">
        <f t="shared" si="37"/>
        <v>20</v>
      </c>
      <c r="AB40" s="56">
        <f t="shared" si="38"/>
        <v>24.834203179999999</v>
      </c>
      <c r="AC40" s="20" t="str">
        <f t="shared" si="39"/>
        <v>24.83420318,20</v>
      </c>
      <c r="AE40" s="19">
        <v>10</v>
      </c>
      <c r="AF40" s="34">
        <v>291.63282720000001</v>
      </c>
      <c r="AG40" s="34">
        <f t="shared" si="40"/>
        <v>20</v>
      </c>
      <c r="AH40" s="56">
        <f t="shared" si="41"/>
        <v>2.9163282719999999</v>
      </c>
      <c r="AI40" s="20" t="str">
        <f t="shared" si="42"/>
        <v>2.916328272,20</v>
      </c>
    </row>
    <row r="41" spans="1:35" x14ac:dyDescent="0.25"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</row>
    <row r="42" spans="1:35" ht="15.75" thickBot="1" x14ac:dyDescent="0.3"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</row>
    <row r="43" spans="1:35" ht="15.75" thickBot="1" x14ac:dyDescent="0.3">
      <c r="S43" s="5" t="s">
        <v>4</v>
      </c>
      <c r="T43" s="5" t="s">
        <v>14</v>
      </c>
      <c r="U43" s="5" t="s">
        <v>125</v>
      </c>
      <c r="V43" s="5" t="s">
        <v>126</v>
      </c>
      <c r="W43" s="5" t="s">
        <v>120</v>
      </c>
    </row>
    <row r="44" spans="1:35" x14ac:dyDescent="0.25">
      <c r="S44" s="42">
        <v>0</v>
      </c>
      <c r="T44" s="51">
        <v>0</v>
      </c>
      <c r="U44" s="51">
        <f>S44*2</f>
        <v>0</v>
      </c>
      <c r="V44" s="51">
        <f>T44/1250</f>
        <v>0</v>
      </c>
      <c r="W44" s="43" t="str">
        <f>CONCATENATE(V44,",",U44)</f>
        <v>0,0</v>
      </c>
    </row>
    <row r="45" spans="1:35" x14ac:dyDescent="0.25">
      <c r="S45" s="17">
        <v>1</v>
      </c>
      <c r="T45" s="10">
        <v>2137.460705</v>
      </c>
      <c r="U45" s="10">
        <f t="shared" ref="U45:U54" si="44">S45*2</f>
        <v>2</v>
      </c>
      <c r="V45" s="51">
        <f t="shared" ref="V45:V54" si="45">T45/1250</f>
        <v>1.709968564</v>
      </c>
      <c r="W45" s="18" t="str">
        <f t="shared" ref="W45:W54" si="46">CONCATENATE(V45,",",U45)</f>
        <v>1.709968564,2</v>
      </c>
    </row>
    <row r="46" spans="1:35" x14ac:dyDescent="0.25">
      <c r="S46" s="17">
        <v>2</v>
      </c>
      <c r="T46" s="10">
        <v>5067.224725</v>
      </c>
      <c r="U46" s="10">
        <f t="shared" si="44"/>
        <v>4</v>
      </c>
      <c r="V46" s="51">
        <f t="shared" si="45"/>
        <v>4.0537797800000002</v>
      </c>
      <c r="W46" s="18" t="str">
        <f t="shared" si="46"/>
        <v>4.05377978,4</v>
      </c>
    </row>
    <row r="47" spans="1:35" x14ac:dyDescent="0.25">
      <c r="S47" s="17">
        <v>3</v>
      </c>
      <c r="T47" s="10">
        <v>8341.6777149999998</v>
      </c>
      <c r="U47" s="10">
        <f t="shared" si="44"/>
        <v>6</v>
      </c>
      <c r="V47" s="51">
        <f t="shared" si="45"/>
        <v>6.6733421719999999</v>
      </c>
      <c r="W47" s="18" t="str">
        <f t="shared" si="46"/>
        <v>6.673342172,6</v>
      </c>
    </row>
    <row r="48" spans="1:35" x14ac:dyDescent="0.25">
      <c r="S48" s="17">
        <v>4</v>
      </c>
      <c r="T48" s="10">
        <v>11862.380265</v>
      </c>
      <c r="U48" s="10">
        <f t="shared" si="44"/>
        <v>8</v>
      </c>
      <c r="V48" s="51">
        <f t="shared" si="45"/>
        <v>9.489904211999999</v>
      </c>
      <c r="W48" s="18" t="str">
        <f t="shared" si="46"/>
        <v>9.489904212,8</v>
      </c>
    </row>
    <row r="49" spans="18:23" x14ac:dyDescent="0.25">
      <c r="S49" s="17">
        <v>5</v>
      </c>
      <c r="T49" s="10">
        <v>15583.70716</v>
      </c>
      <c r="U49" s="10">
        <f t="shared" si="44"/>
        <v>10</v>
      </c>
      <c r="V49" s="51">
        <f t="shared" si="45"/>
        <v>12.466965728</v>
      </c>
      <c r="W49" s="18" t="str">
        <f t="shared" si="46"/>
        <v>12.466965728,10</v>
      </c>
    </row>
    <row r="50" spans="18:23" x14ac:dyDescent="0.25">
      <c r="S50" s="17">
        <v>6</v>
      </c>
      <c r="T50" s="10">
        <v>19494.646140000001</v>
      </c>
      <c r="U50" s="10">
        <f t="shared" si="44"/>
        <v>12</v>
      </c>
      <c r="V50" s="51">
        <f t="shared" si="45"/>
        <v>15.595716912</v>
      </c>
      <c r="W50" s="18" t="str">
        <f t="shared" si="46"/>
        <v>15.595716912,12</v>
      </c>
    </row>
    <row r="51" spans="18:23" x14ac:dyDescent="0.25">
      <c r="S51" s="17">
        <v>7</v>
      </c>
      <c r="T51" s="10">
        <v>23605.101020000002</v>
      </c>
      <c r="U51" s="10">
        <f t="shared" si="44"/>
        <v>14</v>
      </c>
      <c r="V51" s="51">
        <f t="shared" si="45"/>
        <v>18.884080816000001</v>
      </c>
      <c r="W51" s="18" t="str">
        <f t="shared" si="46"/>
        <v>18.884080816,14</v>
      </c>
    </row>
    <row r="52" spans="18:23" x14ac:dyDescent="0.25">
      <c r="S52" s="17">
        <v>8</v>
      </c>
      <c r="T52" s="10">
        <v>27940.919280000002</v>
      </c>
      <c r="U52" s="10">
        <f t="shared" si="44"/>
        <v>16</v>
      </c>
      <c r="V52" s="51">
        <f t="shared" si="45"/>
        <v>22.352735424000002</v>
      </c>
      <c r="W52" s="18" t="str">
        <f t="shared" si="46"/>
        <v>22.352735424,16</v>
      </c>
    </row>
    <row r="53" spans="18:23" x14ac:dyDescent="0.25">
      <c r="S53" s="17">
        <v>9</v>
      </c>
      <c r="T53" s="10">
        <v>32532.879030000004</v>
      </c>
      <c r="U53" s="10">
        <f t="shared" si="44"/>
        <v>18</v>
      </c>
      <c r="V53" s="51">
        <f t="shared" si="45"/>
        <v>26.026303224000003</v>
      </c>
      <c r="W53" s="18" t="str">
        <f t="shared" si="46"/>
        <v>26.026303224,18</v>
      </c>
    </row>
    <row r="54" spans="18:23" ht="15.75" thickBot="1" x14ac:dyDescent="0.3">
      <c r="S54" s="19">
        <v>10</v>
      </c>
      <c r="T54" s="34">
        <v>37404.477835000005</v>
      </c>
      <c r="U54" s="34">
        <f t="shared" si="44"/>
        <v>20</v>
      </c>
      <c r="V54" s="56">
        <f t="shared" si="45"/>
        <v>29.923582268000004</v>
      </c>
      <c r="W54" s="20" t="str">
        <f t="shared" si="46"/>
        <v>29.923582268,20</v>
      </c>
    </row>
    <row r="55" spans="18:23" x14ac:dyDescent="0.25">
      <c r="R55" s="61"/>
      <c r="S55" s="61"/>
      <c r="T55" s="61"/>
      <c r="U55" s="61"/>
      <c r="V55" s="61"/>
      <c r="W55" s="61"/>
    </row>
    <row r="56" spans="18:23" x14ac:dyDescent="0.25">
      <c r="R56" s="61"/>
      <c r="S56" s="61"/>
      <c r="T56" s="61"/>
      <c r="U56" s="61"/>
      <c r="V56" s="61"/>
      <c r="W56" s="61"/>
    </row>
    <row r="57" spans="18:23" x14ac:dyDescent="0.25">
      <c r="R57" s="61"/>
      <c r="S57" s="61"/>
      <c r="T57" s="61"/>
      <c r="U57" s="61"/>
      <c r="V57" s="61"/>
      <c r="W57" s="61"/>
    </row>
  </sheetData>
  <mergeCells count="12"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CD08-736C-40A6-AA41-B622F0DC0E8C}">
  <dimension ref="A1:T26"/>
  <sheetViews>
    <sheetView zoomScale="85" zoomScaleNormal="85" workbookViewId="0">
      <selection activeCell="T31" sqref="T31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2" width="9.140625" style="4"/>
    <col min="13" max="13" width="9.28515625" style="4" bestFit="1" customWidth="1"/>
    <col min="14" max="15" width="12.85546875" style="4" customWidth="1"/>
    <col min="16" max="16" width="20.140625" style="4" customWidth="1"/>
    <col min="17" max="17" width="38.7109375" style="4" customWidth="1"/>
    <col min="18" max="18" width="17.42578125" style="4" customWidth="1"/>
    <col min="19" max="20" width="9.28515625" style="4" bestFit="1" customWidth="1"/>
    <col min="21" max="16384" width="9.140625" style="4"/>
  </cols>
  <sheetData>
    <row r="1" spans="1:20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M1" s="5" t="s">
        <v>4</v>
      </c>
      <c r="N1" s="5" t="s">
        <v>149</v>
      </c>
      <c r="O1" s="5" t="s">
        <v>155</v>
      </c>
      <c r="P1" s="5" t="s">
        <v>156</v>
      </c>
      <c r="Q1" s="5" t="s">
        <v>157</v>
      </c>
      <c r="R1" s="64"/>
      <c r="S1" s="64"/>
      <c r="T1" s="64"/>
    </row>
    <row r="2" spans="1:20" x14ac:dyDescent="0.25">
      <c r="A2" s="42" t="s">
        <v>158</v>
      </c>
      <c r="B2" s="51">
        <v>8.7799999999999994</v>
      </c>
      <c r="C2" s="51" t="s">
        <v>9</v>
      </c>
      <c r="D2" s="51">
        <v>0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M2" s="42">
        <v>8.7799999999999994</v>
      </c>
      <c r="N2" s="65">
        <v>0</v>
      </c>
      <c r="O2" s="51">
        <f>M2*$N$15</f>
        <v>97.555555555555543</v>
      </c>
      <c r="P2" s="49">
        <f>N2*$Q$15</f>
        <v>0</v>
      </c>
      <c r="Q2" s="43" t="str">
        <f>CONCATENATE(P2,",",O2)</f>
        <v>0,97.5555555555555</v>
      </c>
      <c r="R2" s="64"/>
      <c r="S2" s="64"/>
      <c r="T2" s="64"/>
    </row>
    <row r="3" spans="1:20" x14ac:dyDescent="0.25">
      <c r="A3" s="17">
        <v>1</v>
      </c>
      <c r="B3" s="10">
        <v>9</v>
      </c>
      <c r="C3" s="10">
        <f>B3-B2</f>
        <v>0.22000000000000064</v>
      </c>
      <c r="D3" s="11">
        <v>2.0644</v>
      </c>
      <c r="E3" s="10">
        <f>D3+D2</f>
        <v>2.0644</v>
      </c>
      <c r="F3" s="10">
        <f>C3*E3</f>
        <v>0.45416800000000135</v>
      </c>
      <c r="G3" s="10">
        <f>G2+F3</f>
        <v>0.45416800000000135</v>
      </c>
      <c r="H3" s="10">
        <f t="shared" ref="H3:H10" si="0">B3*D3</f>
        <v>18.579599999999999</v>
      </c>
      <c r="I3" s="10">
        <f>H3+H2</f>
        <v>18.579599999999999</v>
      </c>
      <c r="J3" s="10">
        <f t="shared" ref="J3:J10" si="1">C3*I3</f>
        <v>4.0875120000000118</v>
      </c>
      <c r="K3" s="58">
        <f>K2+J3</f>
        <v>4.0875120000000118</v>
      </c>
      <c r="M3" s="17">
        <v>9</v>
      </c>
      <c r="N3" s="10">
        <v>0.45416800000000135</v>
      </c>
      <c r="O3" s="51">
        <f t="shared" ref="O3:O10" si="2">M3*$N$15</f>
        <v>100</v>
      </c>
      <c r="P3" s="10">
        <f t="shared" ref="P3:P10" si="3">N3*$Q$15</f>
        <v>5.3800410342916057E-2</v>
      </c>
      <c r="Q3" s="58" t="str">
        <f t="shared" ref="Q3:Q10" si="4">CONCATENATE(P3,",",O3)</f>
        <v>0.0538004103429161,100</v>
      </c>
      <c r="R3" s="64"/>
      <c r="S3" s="64"/>
      <c r="T3" s="64"/>
    </row>
    <row r="4" spans="1:20" x14ac:dyDescent="0.25">
      <c r="A4" s="17">
        <v>2</v>
      </c>
      <c r="B4" s="10">
        <v>10</v>
      </c>
      <c r="C4" s="10">
        <f t="shared" ref="C4:C10" si="5">B4-B3</f>
        <v>1</v>
      </c>
      <c r="D4" s="11">
        <v>8.5967000000000002</v>
      </c>
      <c r="E4" s="10">
        <f t="shared" ref="E4:E10" si="6">D4+D3</f>
        <v>10.661100000000001</v>
      </c>
      <c r="F4" s="10">
        <f t="shared" ref="F4:F10" si="7">C4*E4</f>
        <v>10.661100000000001</v>
      </c>
      <c r="G4" s="10">
        <f t="shared" ref="G4:G10" si="8">G3+F4</f>
        <v>11.115268000000002</v>
      </c>
      <c r="H4" s="10">
        <f t="shared" si="0"/>
        <v>85.966999999999999</v>
      </c>
      <c r="I4" s="10">
        <f t="shared" ref="I4:I10" si="9">H4+H3</f>
        <v>104.5466</v>
      </c>
      <c r="J4" s="10">
        <f t="shared" si="1"/>
        <v>104.5466</v>
      </c>
      <c r="K4" s="58">
        <f t="shared" ref="K4:K10" si="10">K3+J4</f>
        <v>108.63411200000002</v>
      </c>
      <c r="M4" s="17">
        <v>10</v>
      </c>
      <c r="N4" s="10">
        <v>11.115268000000002</v>
      </c>
      <c r="O4" s="10">
        <f t="shared" si="2"/>
        <v>111.11111111111111</v>
      </c>
      <c r="P4" s="10">
        <f t="shared" si="3"/>
        <v>1.3167065479546824</v>
      </c>
      <c r="Q4" s="58" t="str">
        <f t="shared" si="4"/>
        <v>1.31670654795468,111.111111111111</v>
      </c>
      <c r="R4" s="64"/>
      <c r="S4" s="64"/>
      <c r="T4" s="64"/>
    </row>
    <row r="5" spans="1:20" x14ac:dyDescent="0.25">
      <c r="A5" s="17">
        <v>3</v>
      </c>
      <c r="B5" s="10">
        <v>11</v>
      </c>
      <c r="C5" s="10">
        <f t="shared" si="5"/>
        <v>1</v>
      </c>
      <c r="D5" s="11">
        <v>11.882</v>
      </c>
      <c r="E5" s="10">
        <f t="shared" si="6"/>
        <v>20.4787</v>
      </c>
      <c r="F5" s="10">
        <f t="shared" si="7"/>
        <v>20.4787</v>
      </c>
      <c r="G5" s="10">
        <f t="shared" si="8"/>
        <v>31.593968000000004</v>
      </c>
      <c r="H5" s="10">
        <f t="shared" si="0"/>
        <v>130.702</v>
      </c>
      <c r="I5" s="10">
        <f t="shared" si="9"/>
        <v>216.66899999999998</v>
      </c>
      <c r="J5" s="10">
        <f t="shared" si="1"/>
        <v>216.66899999999998</v>
      </c>
      <c r="K5" s="58">
        <f t="shared" si="10"/>
        <v>325.303112</v>
      </c>
      <c r="M5" s="17">
        <v>11</v>
      </c>
      <c r="N5" s="10">
        <v>31.593968000000004</v>
      </c>
      <c r="O5" s="10">
        <f t="shared" si="2"/>
        <v>122.22222222222221</v>
      </c>
      <c r="P5" s="10">
        <f t="shared" si="3"/>
        <v>3.7425984278085513</v>
      </c>
      <c r="Q5" s="58" t="str">
        <f t="shared" si="4"/>
        <v>3.74259842780855,122.222222222222</v>
      </c>
      <c r="R5" s="64"/>
      <c r="S5" s="64"/>
      <c r="T5" s="64"/>
    </row>
    <row r="6" spans="1:20" x14ac:dyDescent="0.25">
      <c r="A6" s="17">
        <v>4</v>
      </c>
      <c r="B6" s="10">
        <v>12</v>
      </c>
      <c r="C6" s="10">
        <f t="shared" si="5"/>
        <v>1</v>
      </c>
      <c r="D6" s="11">
        <v>13.646000000000001</v>
      </c>
      <c r="E6" s="10">
        <f t="shared" si="6"/>
        <v>25.527999999999999</v>
      </c>
      <c r="F6" s="10">
        <f t="shared" si="7"/>
        <v>25.527999999999999</v>
      </c>
      <c r="G6" s="10">
        <f t="shared" si="8"/>
        <v>57.121968000000003</v>
      </c>
      <c r="H6" s="10">
        <f t="shared" si="0"/>
        <v>163.75200000000001</v>
      </c>
      <c r="I6" s="10">
        <f t="shared" si="9"/>
        <v>294.45400000000001</v>
      </c>
      <c r="J6" s="10">
        <f t="shared" si="1"/>
        <v>294.45400000000001</v>
      </c>
      <c r="K6" s="58">
        <f t="shared" si="10"/>
        <v>619.75711200000001</v>
      </c>
      <c r="M6" s="17">
        <v>12</v>
      </c>
      <c r="N6" s="10">
        <v>57.121968000000003</v>
      </c>
      <c r="O6" s="10">
        <f t="shared" si="2"/>
        <v>133.33333333333331</v>
      </c>
      <c r="P6" s="10">
        <f t="shared" si="3"/>
        <v>6.7666267064058037</v>
      </c>
      <c r="Q6" s="58" t="str">
        <f t="shared" si="4"/>
        <v>6.7666267064058,133.333333333333</v>
      </c>
      <c r="R6" s="64"/>
      <c r="S6" s="64"/>
      <c r="T6" s="64"/>
    </row>
    <row r="7" spans="1:20" x14ac:dyDescent="0.25">
      <c r="A7" s="17">
        <v>5</v>
      </c>
      <c r="B7" s="10">
        <v>13</v>
      </c>
      <c r="C7" s="10">
        <f t="shared" si="5"/>
        <v>1</v>
      </c>
      <c r="D7" s="11">
        <v>14.792</v>
      </c>
      <c r="E7" s="10">
        <f t="shared" si="6"/>
        <v>28.438000000000002</v>
      </c>
      <c r="F7" s="10">
        <f t="shared" si="7"/>
        <v>28.438000000000002</v>
      </c>
      <c r="G7" s="10">
        <f t="shared" si="8"/>
        <v>85.559967999999998</v>
      </c>
      <c r="H7" s="10">
        <f t="shared" si="0"/>
        <v>192.29599999999999</v>
      </c>
      <c r="I7" s="10">
        <f t="shared" si="9"/>
        <v>356.048</v>
      </c>
      <c r="J7" s="10">
        <f t="shared" si="1"/>
        <v>356.048</v>
      </c>
      <c r="K7" s="58">
        <f t="shared" si="10"/>
        <v>975.80511200000001</v>
      </c>
      <c r="M7" s="17">
        <v>13</v>
      </c>
      <c r="N7" s="10">
        <v>85.559967999999998</v>
      </c>
      <c r="O7" s="10">
        <f t="shared" si="2"/>
        <v>144.44444444444443</v>
      </c>
      <c r="P7" s="10">
        <f t="shared" si="3"/>
        <v>10.135371464583047</v>
      </c>
      <c r="Q7" s="58" t="str">
        <f t="shared" si="4"/>
        <v>10.135371464583,144.444444444444</v>
      </c>
      <c r="R7" s="64"/>
      <c r="S7" s="64"/>
      <c r="T7" s="64"/>
    </row>
    <row r="8" spans="1:20" x14ac:dyDescent="0.25">
      <c r="A8" s="17">
        <v>6</v>
      </c>
      <c r="B8" s="10">
        <v>14</v>
      </c>
      <c r="C8" s="10">
        <f t="shared" si="5"/>
        <v>1</v>
      </c>
      <c r="D8" s="11">
        <v>15.541</v>
      </c>
      <c r="E8" s="10">
        <f t="shared" si="6"/>
        <v>30.332999999999998</v>
      </c>
      <c r="F8" s="10">
        <f t="shared" si="7"/>
        <v>30.332999999999998</v>
      </c>
      <c r="G8" s="10">
        <f t="shared" si="8"/>
        <v>115.892968</v>
      </c>
      <c r="H8" s="10">
        <f t="shared" si="0"/>
        <v>217.57400000000001</v>
      </c>
      <c r="I8" s="10">
        <f t="shared" si="9"/>
        <v>409.87</v>
      </c>
      <c r="J8" s="10">
        <f t="shared" si="1"/>
        <v>409.87</v>
      </c>
      <c r="K8" s="58">
        <f t="shared" si="10"/>
        <v>1385.6751119999999</v>
      </c>
      <c r="M8" s="17">
        <v>14</v>
      </c>
      <c r="N8" s="10">
        <v>115.892968</v>
      </c>
      <c r="O8" s="10">
        <f t="shared" si="2"/>
        <v>155.55555555555554</v>
      </c>
      <c r="P8" s="10">
        <f t="shared" si="3"/>
        <v>13.72859654193695</v>
      </c>
      <c r="Q8" s="58" t="str">
        <f t="shared" si="4"/>
        <v>13.728596541937,155.555555555556</v>
      </c>
      <c r="R8" s="64"/>
      <c r="S8" s="64"/>
      <c r="T8" s="64"/>
    </row>
    <row r="9" spans="1:20" x14ac:dyDescent="0.25">
      <c r="A9" s="17" t="s">
        <v>154</v>
      </c>
      <c r="B9" s="10">
        <v>14.55</v>
      </c>
      <c r="C9" s="10">
        <f t="shared" si="5"/>
        <v>0.55000000000000071</v>
      </c>
      <c r="D9" s="10">
        <v>15.81</v>
      </c>
      <c r="E9" s="10">
        <f t="shared" si="6"/>
        <v>31.350999999999999</v>
      </c>
      <c r="F9" s="10">
        <f t="shared" si="7"/>
        <v>17.243050000000022</v>
      </c>
      <c r="G9" s="10">
        <f t="shared" si="8"/>
        <v>133.13601800000001</v>
      </c>
      <c r="H9" s="10">
        <f t="shared" si="0"/>
        <v>230.03550000000001</v>
      </c>
      <c r="I9" s="10">
        <f t="shared" si="9"/>
        <v>447.60950000000003</v>
      </c>
      <c r="J9" s="10">
        <f t="shared" si="1"/>
        <v>246.18522500000034</v>
      </c>
      <c r="K9" s="58">
        <f t="shared" si="10"/>
        <v>1631.8603370000003</v>
      </c>
      <c r="M9" s="17">
        <v>14.55</v>
      </c>
      <c r="N9" s="10">
        <v>133.13601800000001</v>
      </c>
      <c r="O9" s="10">
        <f t="shared" si="2"/>
        <v>161.66666666666666</v>
      </c>
      <c r="P9" s="10">
        <f t="shared" si="3"/>
        <v>15.771195680501132</v>
      </c>
      <c r="Q9" s="58" t="str">
        <f t="shared" si="4"/>
        <v>15.7711956805011,161.666666666667</v>
      </c>
      <c r="R9" s="64"/>
      <c r="S9" s="64"/>
      <c r="T9" s="64"/>
    </row>
    <row r="10" spans="1:20" ht="15.75" thickBot="1" x14ac:dyDescent="0.3">
      <c r="A10" s="19" t="s">
        <v>5</v>
      </c>
      <c r="B10" s="34">
        <v>14.9</v>
      </c>
      <c r="C10" s="34">
        <f t="shared" si="5"/>
        <v>0.34999999999999964</v>
      </c>
      <c r="D10" s="34">
        <v>15.93</v>
      </c>
      <c r="E10" s="34">
        <f t="shared" si="6"/>
        <v>31.740000000000002</v>
      </c>
      <c r="F10" s="34">
        <f t="shared" si="7"/>
        <v>11.108999999999989</v>
      </c>
      <c r="G10" s="34">
        <f t="shared" si="8"/>
        <v>144.24501799999999</v>
      </c>
      <c r="H10" s="34">
        <f t="shared" si="0"/>
        <v>237.357</v>
      </c>
      <c r="I10" s="34">
        <f t="shared" si="9"/>
        <v>467.39250000000004</v>
      </c>
      <c r="J10" s="34">
        <f t="shared" si="1"/>
        <v>163.58737499999984</v>
      </c>
      <c r="K10" s="59">
        <f t="shared" si="10"/>
        <v>1795.4477120000001</v>
      </c>
      <c r="M10" s="19">
        <v>14.9</v>
      </c>
      <c r="N10" s="34">
        <v>144.24501799999999</v>
      </c>
      <c r="O10" s="34">
        <f t="shared" si="2"/>
        <v>165.55555555555554</v>
      </c>
      <c r="P10" s="34">
        <f t="shared" si="3"/>
        <v>17.087159725743092</v>
      </c>
      <c r="Q10" s="59" t="str">
        <f t="shared" si="4"/>
        <v>17.0871597257431,165.555555555556</v>
      </c>
      <c r="R10" s="64"/>
      <c r="S10" s="64"/>
      <c r="T10" s="64"/>
    </row>
    <row r="13" spans="1:20" x14ac:dyDescent="0.25">
      <c r="N13" s="4" t="s">
        <v>155</v>
      </c>
      <c r="P13" s="4" t="s">
        <v>156</v>
      </c>
      <c r="S13" s="4" t="s">
        <v>159</v>
      </c>
    </row>
    <row r="14" spans="1:20" x14ac:dyDescent="0.25">
      <c r="M14" s="4">
        <v>18</v>
      </c>
      <c r="N14" s="4">
        <v>200</v>
      </c>
      <c r="P14" s="4">
        <v>422.08600000000001</v>
      </c>
      <c r="Q14" s="4">
        <v>50</v>
      </c>
      <c r="S14" s="4">
        <v>2876.7204000000002</v>
      </c>
      <c r="T14" s="4">
        <v>50</v>
      </c>
    </row>
    <row r="15" spans="1:20" x14ac:dyDescent="0.25">
      <c r="N15" s="4">
        <v>11.111111111111111</v>
      </c>
      <c r="Q15" s="4">
        <v>0.11845927133333017</v>
      </c>
      <c r="T15" s="4">
        <v>1.7380903615102809E-2</v>
      </c>
    </row>
    <row r="16" spans="1:20" ht="15.75" thickBot="1" x14ac:dyDescent="0.3"/>
    <row r="17" spans="13:18" ht="15.75" thickBot="1" x14ac:dyDescent="0.3">
      <c r="M17" s="5" t="s">
        <v>4</v>
      </c>
      <c r="N17" s="5" t="s">
        <v>153</v>
      </c>
      <c r="O17" s="5" t="s">
        <v>155</v>
      </c>
      <c r="P17" s="5" t="s">
        <v>159</v>
      </c>
      <c r="Q17" s="5" t="s">
        <v>157</v>
      </c>
      <c r="R17" s="64"/>
    </row>
    <row r="18" spans="13:18" x14ac:dyDescent="0.25">
      <c r="M18" s="42">
        <v>8.7799999999999994</v>
      </c>
      <c r="N18" s="51">
        <v>0</v>
      </c>
      <c r="O18" s="51">
        <f>M18*$N$15</f>
        <v>97.555555555555543</v>
      </c>
      <c r="P18" s="51">
        <f>N18*$T$15</f>
        <v>0</v>
      </c>
      <c r="Q18" s="43" t="str">
        <f>CONCATENATE(P18,",",O18)</f>
        <v>0,97.5555555555555</v>
      </c>
    </row>
    <row r="19" spans="13:18" x14ac:dyDescent="0.25">
      <c r="M19" s="17">
        <v>9</v>
      </c>
      <c r="N19" s="10">
        <v>4.0875120000000118</v>
      </c>
      <c r="O19" s="10">
        <f t="shared" ref="O19:O26" si="11">M19*$N$15</f>
        <v>100</v>
      </c>
      <c r="P19" s="10">
        <f t="shared" ref="P19:P26" si="12">N19*$T$15</f>
        <v>7.1044652097576322E-2</v>
      </c>
      <c r="Q19" s="58" t="str">
        <f t="shared" ref="Q19:Q26" si="13">CONCATENATE(P19,",",O19)</f>
        <v>0.0710446520975763,100</v>
      </c>
    </row>
    <row r="20" spans="13:18" x14ac:dyDescent="0.25">
      <c r="M20" s="17">
        <v>10</v>
      </c>
      <c r="N20" s="10">
        <v>108.63411200000002</v>
      </c>
      <c r="O20" s="10">
        <f t="shared" si="11"/>
        <v>111.11111111111111</v>
      </c>
      <c r="P20" s="10">
        <f t="shared" si="12"/>
        <v>1.8881590299842836</v>
      </c>
      <c r="Q20" s="58" t="str">
        <f t="shared" si="13"/>
        <v>1.88815902998428,111.111111111111</v>
      </c>
    </row>
    <row r="21" spans="13:18" x14ac:dyDescent="0.25">
      <c r="M21" s="17">
        <v>11</v>
      </c>
      <c r="N21" s="10">
        <v>325.303112</v>
      </c>
      <c r="O21" s="10">
        <f t="shared" si="11"/>
        <v>122.22222222222221</v>
      </c>
      <c r="P21" s="10">
        <f t="shared" si="12"/>
        <v>5.6540620353649942</v>
      </c>
      <c r="Q21" s="58" t="str">
        <f t="shared" si="13"/>
        <v>5.65406203536499,122.222222222222</v>
      </c>
    </row>
    <row r="22" spans="13:18" x14ac:dyDescent="0.25">
      <c r="M22" s="17">
        <v>12</v>
      </c>
      <c r="N22" s="10">
        <v>619.75711200000001</v>
      </c>
      <c r="O22" s="10">
        <f t="shared" si="11"/>
        <v>133.33333333333331</v>
      </c>
      <c r="P22" s="10">
        <f t="shared" si="12"/>
        <v>10.771938628446476</v>
      </c>
      <c r="Q22" s="58" t="str">
        <f t="shared" si="13"/>
        <v>10.7719386284465,133.333333333333</v>
      </c>
    </row>
    <row r="23" spans="13:18" x14ac:dyDescent="0.25">
      <c r="M23" s="17">
        <v>13</v>
      </c>
      <c r="N23" s="10">
        <v>975.80511200000001</v>
      </c>
      <c r="O23" s="10">
        <f t="shared" si="11"/>
        <v>144.44444444444443</v>
      </c>
      <c r="P23" s="10">
        <f t="shared" si="12"/>
        <v>16.960374598796601</v>
      </c>
      <c r="Q23" s="58" t="str">
        <f t="shared" si="13"/>
        <v>16.9603745987966,144.444444444444</v>
      </c>
    </row>
    <row r="24" spans="13:18" x14ac:dyDescent="0.25">
      <c r="M24" s="17">
        <v>14</v>
      </c>
      <c r="N24" s="10">
        <v>1385.6751119999999</v>
      </c>
      <c r="O24" s="10">
        <f t="shared" si="11"/>
        <v>155.55555555555554</v>
      </c>
      <c r="P24" s="10">
        <f t="shared" si="12"/>
        <v>24.084285563518787</v>
      </c>
      <c r="Q24" s="58" t="str">
        <f t="shared" si="13"/>
        <v>24.0842855635188,155.555555555556</v>
      </c>
    </row>
    <row r="25" spans="13:18" x14ac:dyDescent="0.25">
      <c r="M25" s="17">
        <v>14.55</v>
      </c>
      <c r="N25" s="10">
        <v>1631.8603370000003</v>
      </c>
      <c r="O25" s="10">
        <f t="shared" si="11"/>
        <v>161.66666666666666</v>
      </c>
      <c r="P25" s="10">
        <f t="shared" si="12"/>
        <v>28.363207230706191</v>
      </c>
      <c r="Q25" s="58" t="str">
        <f t="shared" si="13"/>
        <v>28.3632072307062,161.666666666667</v>
      </c>
    </row>
    <row r="26" spans="13:18" ht="15.75" thickBot="1" x14ac:dyDescent="0.3">
      <c r="M26" s="19">
        <v>14.9</v>
      </c>
      <c r="N26" s="34">
        <v>1795.4477120000001</v>
      </c>
      <c r="O26" s="34">
        <f t="shared" si="11"/>
        <v>165.55555555555554</v>
      </c>
      <c r="P26" s="34">
        <f t="shared" si="12"/>
        <v>31.206503628228869</v>
      </c>
      <c r="Q26" s="59" t="str">
        <f t="shared" si="13"/>
        <v>31.2065036282289,165.555555555556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A365-AAAE-4646-A77A-6245FD302E14}">
  <dimension ref="A1:U41"/>
  <sheetViews>
    <sheetView zoomScale="85" zoomScaleNormal="85" workbookViewId="0">
      <selection activeCell="T35" sqref="T35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9" style="4" customWidth="1"/>
    <col min="16" max="16" width="15.28515625" style="4" customWidth="1"/>
    <col min="17" max="17" width="14.42578125" style="4" customWidth="1"/>
    <col min="18" max="18" width="37.5703125" style="4" customWidth="1"/>
    <col min="19" max="19" width="16.85546875" style="4" customWidth="1"/>
    <col min="20" max="21" width="9.28515625" style="4" bestFit="1" customWidth="1"/>
    <col min="22" max="16384" width="9.140625" style="4"/>
  </cols>
  <sheetData>
    <row r="1" spans="1:18" ht="15.75" thickBot="1" x14ac:dyDescent="0.3">
      <c r="A1" s="5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 t="s">
        <v>158</v>
      </c>
      <c r="B2" s="51">
        <v>0.30099999999999999</v>
      </c>
      <c r="C2" s="51" t="s">
        <v>9</v>
      </c>
      <c r="D2" s="51">
        <v>0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0.30099999999999999</v>
      </c>
      <c r="O2" s="51">
        <v>0</v>
      </c>
      <c r="P2" s="51">
        <f>N2*$O$22</f>
        <v>3.3444444444444441</v>
      </c>
      <c r="Q2" s="51">
        <f>O2*$R$22</f>
        <v>0</v>
      </c>
      <c r="R2" s="43" t="str">
        <f>CONCATENATE(Q2,",",P2)</f>
        <v>0,3.34444444444444</v>
      </c>
    </row>
    <row r="3" spans="1:18" x14ac:dyDescent="0.25">
      <c r="A3" s="17">
        <v>1</v>
      </c>
      <c r="B3" s="10">
        <v>1</v>
      </c>
      <c r="C3" s="10">
        <f>B3-B2</f>
        <v>0.69900000000000007</v>
      </c>
      <c r="D3" s="11">
        <v>0.88244999999999996</v>
      </c>
      <c r="E3" s="10">
        <f>D3+D2</f>
        <v>0.88244999999999996</v>
      </c>
      <c r="F3" s="10">
        <f>C3*E3</f>
        <v>0.61683255000000003</v>
      </c>
      <c r="G3" s="10">
        <f>G2+F3</f>
        <v>0.61683255000000003</v>
      </c>
      <c r="H3" s="10">
        <f t="shared" ref="H3:H18" si="0">B3*D3</f>
        <v>0.88244999999999996</v>
      </c>
      <c r="I3" s="10">
        <f>H3+H2</f>
        <v>0.88244999999999996</v>
      </c>
      <c r="J3" s="10">
        <f t="shared" ref="J3:J18" si="1">C3*I3</f>
        <v>0.61683255000000003</v>
      </c>
      <c r="K3" s="58">
        <f>K2+J3</f>
        <v>0.61683255000000003</v>
      </c>
      <c r="N3" s="17">
        <v>1</v>
      </c>
      <c r="O3" s="10">
        <v>0.61683255000000003</v>
      </c>
      <c r="P3" s="10">
        <f t="shared" ref="P3:P18" si="2">N3*$O$22</f>
        <v>11.111111111111111</v>
      </c>
      <c r="Q3" s="10">
        <f t="shared" ref="Q3:Q18" si="3">O3*$R$22</f>
        <v>7.3069534407679951E-2</v>
      </c>
      <c r="R3" s="58" t="str">
        <f t="shared" ref="R3:R18" si="4">CONCATENATE(Q3,",",P3)</f>
        <v>0.07306953440768,11.1111111111111</v>
      </c>
    </row>
    <row r="4" spans="1:18" x14ac:dyDescent="0.25">
      <c r="A4" s="17">
        <v>2</v>
      </c>
      <c r="B4" s="10">
        <v>2</v>
      </c>
      <c r="C4" s="10">
        <f t="shared" ref="C4:C18" si="5">B4-B3</f>
        <v>1</v>
      </c>
      <c r="D4" s="11">
        <v>1.1774</v>
      </c>
      <c r="E4" s="10">
        <f t="shared" ref="E4:E18" si="6">D4+D3</f>
        <v>2.05985</v>
      </c>
      <c r="F4" s="10">
        <f t="shared" ref="F4:F18" si="7">C4*E4</f>
        <v>2.05985</v>
      </c>
      <c r="G4" s="10">
        <f t="shared" ref="G4:G18" si="8">G3+F4</f>
        <v>2.6766825499999998</v>
      </c>
      <c r="H4" s="10">
        <f t="shared" si="0"/>
        <v>2.3548</v>
      </c>
      <c r="I4" s="10">
        <f t="shared" ref="I4:I18" si="9">H4+H3</f>
        <v>3.23725</v>
      </c>
      <c r="J4" s="10">
        <f t="shared" si="1"/>
        <v>3.23725</v>
      </c>
      <c r="K4" s="58">
        <f t="shared" ref="K4:K18" si="10">K3+J4</f>
        <v>3.8540825500000002</v>
      </c>
      <c r="N4" s="17">
        <v>2</v>
      </c>
      <c r="O4" s="10">
        <v>2.6766825499999998</v>
      </c>
      <c r="P4" s="10">
        <f t="shared" si="2"/>
        <v>22.222222222222221</v>
      </c>
      <c r="Q4" s="10">
        <f t="shared" si="3"/>
        <v>0.31707786446364006</v>
      </c>
      <c r="R4" s="58" t="str">
        <f t="shared" si="4"/>
        <v>0.31707786446364,22.2222222222222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1.0182</v>
      </c>
      <c r="E5" s="10">
        <f t="shared" si="6"/>
        <v>2.1955999999999998</v>
      </c>
      <c r="F5" s="10">
        <f t="shared" si="7"/>
        <v>2.1955999999999998</v>
      </c>
      <c r="G5" s="10">
        <f t="shared" si="8"/>
        <v>4.8722825499999995</v>
      </c>
      <c r="H5" s="10">
        <f t="shared" si="0"/>
        <v>3.0545999999999998</v>
      </c>
      <c r="I5" s="10">
        <f t="shared" si="9"/>
        <v>5.4093999999999998</v>
      </c>
      <c r="J5" s="10">
        <f t="shared" si="1"/>
        <v>5.4093999999999998</v>
      </c>
      <c r="K5" s="58">
        <f t="shared" si="10"/>
        <v>9.2634825499999991</v>
      </c>
      <c r="N5" s="17">
        <v>3</v>
      </c>
      <c r="O5" s="10">
        <v>4.8722825499999995</v>
      </c>
      <c r="P5" s="10">
        <f t="shared" si="2"/>
        <v>33.333333333333329</v>
      </c>
      <c r="Q5" s="10">
        <f t="shared" si="3"/>
        <v>0.57716704060309976</v>
      </c>
      <c r="R5" s="58" t="str">
        <f t="shared" si="4"/>
        <v>0.5771670406031,33.3333333333333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0.74592000000000003</v>
      </c>
      <c r="E6" s="10">
        <f t="shared" si="6"/>
        <v>1.7641200000000001</v>
      </c>
      <c r="F6" s="10">
        <f t="shared" si="7"/>
        <v>1.7641200000000001</v>
      </c>
      <c r="G6" s="10">
        <f t="shared" si="8"/>
        <v>6.6364025499999997</v>
      </c>
      <c r="H6" s="10">
        <f t="shared" si="0"/>
        <v>2.9836800000000001</v>
      </c>
      <c r="I6" s="10">
        <f t="shared" si="9"/>
        <v>6.0382800000000003</v>
      </c>
      <c r="J6" s="10">
        <f t="shared" si="1"/>
        <v>6.0382800000000003</v>
      </c>
      <c r="K6" s="58">
        <f t="shared" si="10"/>
        <v>15.301762549999999</v>
      </c>
      <c r="N6" s="17">
        <v>4</v>
      </c>
      <c r="O6" s="10">
        <v>6.6364025499999997</v>
      </c>
      <c r="P6" s="10">
        <f t="shared" si="2"/>
        <v>44.444444444444443</v>
      </c>
      <c r="Q6" s="10">
        <f t="shared" si="3"/>
        <v>0.78614341034765423</v>
      </c>
      <c r="R6" s="58" t="str">
        <f t="shared" si="4"/>
        <v>0.786143410347654,44.4444444444444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0.62233000000000005</v>
      </c>
      <c r="E7" s="10">
        <f t="shared" si="6"/>
        <v>1.3682500000000002</v>
      </c>
      <c r="F7" s="10">
        <f t="shared" si="7"/>
        <v>1.3682500000000002</v>
      </c>
      <c r="G7" s="10">
        <f t="shared" si="8"/>
        <v>8.0046525499999994</v>
      </c>
      <c r="H7" s="10">
        <f t="shared" si="0"/>
        <v>3.11165</v>
      </c>
      <c r="I7" s="10">
        <f t="shared" si="9"/>
        <v>6.0953300000000006</v>
      </c>
      <c r="J7" s="10">
        <f t="shared" si="1"/>
        <v>6.0953300000000006</v>
      </c>
      <c r="K7" s="58">
        <f t="shared" si="10"/>
        <v>21.39709255</v>
      </c>
      <c r="N7" s="17">
        <v>5</v>
      </c>
      <c r="O7" s="10">
        <v>8.0046525499999994</v>
      </c>
      <c r="P7" s="10">
        <f t="shared" si="2"/>
        <v>55.555555555555557</v>
      </c>
      <c r="Q7" s="10">
        <f t="shared" si="3"/>
        <v>0.94822530834948315</v>
      </c>
      <c r="R7" s="58" t="str">
        <f t="shared" si="4"/>
        <v>0.948225308349483,55.5555555555556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0.78027999999999997</v>
      </c>
      <c r="E8" s="10">
        <f t="shared" si="6"/>
        <v>1.4026100000000001</v>
      </c>
      <c r="F8" s="10">
        <f t="shared" si="7"/>
        <v>1.4026100000000001</v>
      </c>
      <c r="G8" s="10">
        <f t="shared" si="8"/>
        <v>9.4072625499999987</v>
      </c>
      <c r="H8" s="10">
        <f t="shared" si="0"/>
        <v>4.6816800000000001</v>
      </c>
      <c r="I8" s="10">
        <f t="shared" si="9"/>
        <v>7.7933300000000001</v>
      </c>
      <c r="J8" s="10">
        <f t="shared" si="1"/>
        <v>7.7933300000000001</v>
      </c>
      <c r="K8" s="58">
        <f t="shared" si="10"/>
        <v>29.190422550000001</v>
      </c>
      <c r="N8" s="17">
        <v>6</v>
      </c>
      <c r="O8" s="10">
        <v>9.4072625499999987</v>
      </c>
      <c r="P8" s="10">
        <f t="shared" si="2"/>
        <v>66.666666666666657</v>
      </c>
      <c r="Q8" s="10">
        <f t="shared" si="3"/>
        <v>1.1143774669143254</v>
      </c>
      <c r="R8" s="58" t="str">
        <f t="shared" si="4"/>
        <v>1.11437746691433,66.6666666666667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1.4368000000000001</v>
      </c>
      <c r="E9" s="10">
        <f t="shared" si="6"/>
        <v>2.2170800000000002</v>
      </c>
      <c r="F9" s="10">
        <f t="shared" si="7"/>
        <v>2.2170800000000002</v>
      </c>
      <c r="G9" s="10">
        <f t="shared" si="8"/>
        <v>11.624342549999998</v>
      </c>
      <c r="H9" s="10">
        <f t="shared" si="0"/>
        <v>10.057600000000001</v>
      </c>
      <c r="I9" s="10">
        <f t="shared" si="9"/>
        <v>14.739280000000001</v>
      </c>
      <c r="J9" s="10">
        <f t="shared" si="1"/>
        <v>14.739280000000001</v>
      </c>
      <c r="K9" s="58">
        <f t="shared" si="10"/>
        <v>43.929702550000002</v>
      </c>
      <c r="N9" s="17">
        <v>7</v>
      </c>
      <c r="O9" s="10">
        <v>11.624342549999998</v>
      </c>
      <c r="P9" s="10">
        <f t="shared" si="2"/>
        <v>77.777777777777771</v>
      </c>
      <c r="Q9" s="10">
        <f t="shared" si="3"/>
        <v>1.3770111482020249</v>
      </c>
      <c r="R9" s="58" t="str">
        <f t="shared" si="4"/>
        <v>1.37701114820202,77.7777777777778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4.2518000000000002</v>
      </c>
      <c r="E10" s="10">
        <f t="shared" si="6"/>
        <v>5.6886000000000001</v>
      </c>
      <c r="F10" s="10">
        <f t="shared" si="7"/>
        <v>5.6886000000000001</v>
      </c>
      <c r="G10" s="10">
        <f t="shared" si="8"/>
        <v>17.312942549999999</v>
      </c>
      <c r="H10" s="10">
        <f t="shared" si="0"/>
        <v>34.014400000000002</v>
      </c>
      <c r="I10" s="10">
        <f t="shared" si="9"/>
        <v>44.072000000000003</v>
      </c>
      <c r="J10" s="10">
        <f t="shared" si="1"/>
        <v>44.072000000000003</v>
      </c>
      <c r="K10" s="58">
        <f t="shared" si="10"/>
        <v>88.001702550000005</v>
      </c>
      <c r="N10" s="17">
        <v>8</v>
      </c>
      <c r="O10" s="10">
        <v>17.312942549999999</v>
      </c>
      <c r="P10" s="10">
        <f t="shared" si="2"/>
        <v>88.888888888888886</v>
      </c>
      <c r="Q10" s="10">
        <f t="shared" si="3"/>
        <v>2.0508785591088072</v>
      </c>
      <c r="R10" s="58" t="str">
        <f t="shared" si="4"/>
        <v>2.05087855910881,88.8888888888889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9.2350999999999992</v>
      </c>
      <c r="E11" s="10">
        <f t="shared" si="6"/>
        <v>13.486899999999999</v>
      </c>
      <c r="F11" s="10">
        <f t="shared" si="7"/>
        <v>13.486899999999999</v>
      </c>
      <c r="G11" s="10">
        <f t="shared" si="8"/>
        <v>30.799842549999997</v>
      </c>
      <c r="H11" s="10">
        <f t="shared" si="0"/>
        <v>83.115899999999996</v>
      </c>
      <c r="I11" s="10">
        <f t="shared" si="9"/>
        <v>117.13030000000001</v>
      </c>
      <c r="J11" s="10">
        <f t="shared" si="1"/>
        <v>117.13030000000001</v>
      </c>
      <c r="K11" s="58">
        <f t="shared" si="10"/>
        <v>205.13200255000001</v>
      </c>
      <c r="N11" s="17">
        <v>9</v>
      </c>
      <c r="O11" s="10">
        <v>30.799842549999997</v>
      </c>
      <c r="P11" s="10">
        <f t="shared" si="2"/>
        <v>100</v>
      </c>
      <c r="Q11" s="10">
        <f t="shared" si="3"/>
        <v>3.6485269056542977</v>
      </c>
      <c r="R11" s="58" t="str">
        <f t="shared" si="4"/>
        <v>3.6485269056543,100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12.145</v>
      </c>
      <c r="E12" s="10">
        <f t="shared" si="6"/>
        <v>21.380099999999999</v>
      </c>
      <c r="F12" s="10">
        <f t="shared" si="7"/>
        <v>21.380099999999999</v>
      </c>
      <c r="G12" s="10">
        <f t="shared" si="8"/>
        <v>52.179942549999993</v>
      </c>
      <c r="H12" s="10">
        <f t="shared" si="0"/>
        <v>121.44999999999999</v>
      </c>
      <c r="I12" s="10">
        <f t="shared" si="9"/>
        <v>204.5659</v>
      </c>
      <c r="J12" s="10">
        <f t="shared" si="1"/>
        <v>204.5659</v>
      </c>
      <c r="K12" s="58">
        <f t="shared" si="10"/>
        <v>409.69790254999998</v>
      </c>
      <c r="N12" s="17">
        <v>10</v>
      </c>
      <c r="O12" s="10">
        <v>52.179942549999993</v>
      </c>
      <c r="P12" s="10">
        <f t="shared" si="2"/>
        <v>111.11111111111111</v>
      </c>
      <c r="Q12" s="10">
        <f t="shared" si="3"/>
        <v>6.1811979726880297</v>
      </c>
      <c r="R12" s="58" t="str">
        <f t="shared" si="4"/>
        <v>6.18119797268803,111.111111111111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13.861000000000001</v>
      </c>
      <c r="E13" s="10">
        <f t="shared" si="6"/>
        <v>26.006</v>
      </c>
      <c r="F13" s="10">
        <f t="shared" si="7"/>
        <v>26.006</v>
      </c>
      <c r="G13" s="10">
        <f t="shared" si="8"/>
        <v>78.185942549999993</v>
      </c>
      <c r="H13" s="10">
        <f t="shared" si="0"/>
        <v>152.471</v>
      </c>
      <c r="I13" s="10">
        <f t="shared" si="9"/>
        <v>273.92099999999999</v>
      </c>
      <c r="J13" s="10">
        <f t="shared" si="1"/>
        <v>273.92099999999999</v>
      </c>
      <c r="K13" s="58">
        <f t="shared" si="10"/>
        <v>683.61890255000003</v>
      </c>
      <c r="N13" s="17">
        <v>11</v>
      </c>
      <c r="O13" s="10">
        <v>78.185942549999993</v>
      </c>
      <c r="P13" s="10">
        <f t="shared" si="2"/>
        <v>122.22222222222221</v>
      </c>
      <c r="Q13" s="10">
        <f t="shared" si="3"/>
        <v>9.2618497829826136</v>
      </c>
      <c r="R13" s="58" t="str">
        <f t="shared" si="4"/>
        <v>9.26184978298261,122.222222222222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14.957000000000001</v>
      </c>
      <c r="E14" s="10">
        <f t="shared" si="6"/>
        <v>28.818000000000001</v>
      </c>
      <c r="F14" s="10">
        <f t="shared" si="7"/>
        <v>28.818000000000001</v>
      </c>
      <c r="G14" s="10">
        <f t="shared" si="8"/>
        <v>107.00394254999999</v>
      </c>
      <c r="H14" s="10">
        <f t="shared" si="0"/>
        <v>179.48400000000001</v>
      </c>
      <c r="I14" s="10">
        <f t="shared" si="9"/>
        <v>331.95500000000004</v>
      </c>
      <c r="J14" s="10">
        <f t="shared" si="1"/>
        <v>331.95500000000004</v>
      </c>
      <c r="K14" s="58">
        <f t="shared" si="10"/>
        <v>1015.5739025500001</v>
      </c>
      <c r="N14" s="17">
        <v>12</v>
      </c>
      <c r="O14" s="10">
        <v>107.00394254999999</v>
      </c>
      <c r="P14" s="10">
        <f t="shared" si="2"/>
        <v>133.33333333333331</v>
      </c>
      <c r="Q14" s="10">
        <f t="shared" si="3"/>
        <v>12.675609064266522</v>
      </c>
      <c r="R14" s="58" t="str">
        <f t="shared" si="4"/>
        <v>12.6756090642665,133.333333333333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15.614000000000001</v>
      </c>
      <c r="E15" s="10">
        <f t="shared" si="6"/>
        <v>30.571000000000002</v>
      </c>
      <c r="F15" s="10">
        <f t="shared" si="7"/>
        <v>30.571000000000002</v>
      </c>
      <c r="G15" s="10">
        <f t="shared" si="8"/>
        <v>137.57494255</v>
      </c>
      <c r="H15" s="10">
        <f t="shared" si="0"/>
        <v>202.982</v>
      </c>
      <c r="I15" s="10">
        <f t="shared" si="9"/>
        <v>382.46600000000001</v>
      </c>
      <c r="J15" s="10">
        <f t="shared" si="1"/>
        <v>382.46600000000001</v>
      </c>
      <c r="K15" s="58">
        <f t="shared" si="10"/>
        <v>1398.0399025500001</v>
      </c>
      <c r="N15" s="17">
        <v>13</v>
      </c>
      <c r="O15" s="10">
        <v>137.57494255</v>
      </c>
      <c r="P15" s="10">
        <f t="shared" si="2"/>
        <v>144.44444444444443</v>
      </c>
      <c r="Q15" s="10">
        <f t="shared" si="3"/>
        <v>16.29702744819776</v>
      </c>
      <c r="R15" s="58" t="str">
        <f t="shared" si="4"/>
        <v>16.2970274481978,144.444444444444</v>
      </c>
    </row>
    <row r="16" spans="1:18" x14ac:dyDescent="0.25">
      <c r="A16" s="17">
        <v>14</v>
      </c>
      <c r="B16" s="10">
        <v>14</v>
      </c>
      <c r="C16" s="10">
        <f t="shared" si="5"/>
        <v>1</v>
      </c>
      <c r="D16" s="11">
        <v>15.971</v>
      </c>
      <c r="E16" s="10">
        <f t="shared" si="6"/>
        <v>31.585000000000001</v>
      </c>
      <c r="F16" s="10">
        <f t="shared" si="7"/>
        <v>31.585000000000001</v>
      </c>
      <c r="G16" s="10">
        <f t="shared" si="8"/>
        <v>169.15994255000001</v>
      </c>
      <c r="H16" s="10">
        <f t="shared" si="0"/>
        <v>223.59399999999999</v>
      </c>
      <c r="I16" s="10">
        <f t="shared" si="9"/>
        <v>426.57600000000002</v>
      </c>
      <c r="J16" s="10">
        <f t="shared" si="1"/>
        <v>426.57600000000002</v>
      </c>
      <c r="K16" s="58">
        <f t="shared" si="10"/>
        <v>1824.6159025500001</v>
      </c>
      <c r="N16" s="17">
        <v>14</v>
      </c>
      <c r="O16" s="10">
        <v>169.15994255000001</v>
      </c>
      <c r="P16" s="10">
        <f t="shared" si="2"/>
        <v>155.55555555555554</v>
      </c>
      <c r="Q16" s="10">
        <f t="shared" si="3"/>
        <v>20.038563533260994</v>
      </c>
      <c r="R16" s="58" t="str">
        <f t="shared" si="4"/>
        <v>20.038563533261,155.555555555556</v>
      </c>
    </row>
    <row r="17" spans="1:21" x14ac:dyDescent="0.25">
      <c r="A17" s="17" t="s">
        <v>154</v>
      </c>
      <c r="B17" s="10">
        <v>14.02</v>
      </c>
      <c r="C17" s="10">
        <f t="shared" si="5"/>
        <v>1.9999999999999574E-2</v>
      </c>
      <c r="D17" s="10">
        <v>15.97</v>
      </c>
      <c r="E17" s="10">
        <f t="shared" si="6"/>
        <v>31.941000000000003</v>
      </c>
      <c r="F17" s="10">
        <f t="shared" si="7"/>
        <v>0.6388199999999864</v>
      </c>
      <c r="G17" s="10">
        <f t="shared" si="8"/>
        <v>169.79876254999999</v>
      </c>
      <c r="H17" s="10">
        <f t="shared" si="0"/>
        <v>223.89940000000001</v>
      </c>
      <c r="I17" s="10">
        <f t="shared" si="9"/>
        <v>447.49340000000001</v>
      </c>
      <c r="J17" s="10">
        <f t="shared" si="1"/>
        <v>8.9498679999998085</v>
      </c>
      <c r="K17" s="58">
        <f t="shared" si="10"/>
        <v>1833.5657705499998</v>
      </c>
      <c r="N17" s="17">
        <v>14.02</v>
      </c>
      <c r="O17" s="10">
        <v>169.79876254999999</v>
      </c>
      <c r="P17" s="10">
        <f t="shared" si="2"/>
        <v>155.77777777777777</v>
      </c>
      <c r="Q17" s="10">
        <f t="shared" si="3"/>
        <v>20.11423768497415</v>
      </c>
      <c r="R17" s="58" t="str">
        <f t="shared" si="4"/>
        <v>20.1142376849741,155.777777777778</v>
      </c>
    </row>
    <row r="18" spans="1:21" ht="15.75" thickBot="1" x14ac:dyDescent="0.3">
      <c r="A18" s="19" t="s">
        <v>5</v>
      </c>
      <c r="B18" s="34">
        <v>14.65</v>
      </c>
      <c r="C18" s="34">
        <f t="shared" si="5"/>
        <v>0.63000000000000078</v>
      </c>
      <c r="D18" s="34">
        <v>16</v>
      </c>
      <c r="E18" s="34">
        <f t="shared" si="6"/>
        <v>31.97</v>
      </c>
      <c r="F18" s="34">
        <f t="shared" si="7"/>
        <v>20.141100000000023</v>
      </c>
      <c r="G18" s="34">
        <f t="shared" si="8"/>
        <v>189.93986255000002</v>
      </c>
      <c r="H18" s="34">
        <f t="shared" si="0"/>
        <v>234.4</v>
      </c>
      <c r="I18" s="34">
        <f t="shared" si="9"/>
        <v>458.29939999999999</v>
      </c>
      <c r="J18" s="34">
        <f t="shared" si="1"/>
        <v>288.72862200000037</v>
      </c>
      <c r="K18" s="59">
        <f t="shared" si="10"/>
        <v>2122.2943925500003</v>
      </c>
      <c r="N18" s="19">
        <v>14.65</v>
      </c>
      <c r="O18" s="34">
        <v>189.93986255000002</v>
      </c>
      <c r="P18" s="34">
        <f t="shared" si="2"/>
        <v>162.77777777777777</v>
      </c>
      <c r="Q18" s="34">
        <f t="shared" si="3"/>
        <v>22.50013771482589</v>
      </c>
      <c r="R18" s="59" t="str">
        <f t="shared" si="4"/>
        <v>22.5001377148259,162.777777777778</v>
      </c>
    </row>
    <row r="20" spans="1:21" x14ac:dyDescent="0.25">
      <c r="O20" s="4" t="s">
        <v>155</v>
      </c>
      <c r="Q20" s="4" t="s">
        <v>156</v>
      </c>
      <c r="T20" s="4" t="s">
        <v>159</v>
      </c>
    </row>
    <row r="21" spans="1:21" x14ac:dyDescent="0.25">
      <c r="N21" s="4">
        <v>18</v>
      </c>
      <c r="O21" s="4">
        <v>200</v>
      </c>
      <c r="Q21" s="4">
        <v>422.08600000000001</v>
      </c>
      <c r="R21" s="4">
        <v>50</v>
      </c>
      <c r="T21" s="4">
        <v>2876.7204000000002</v>
      </c>
      <c r="U21" s="4">
        <v>50</v>
      </c>
    </row>
    <row r="22" spans="1:21" x14ac:dyDescent="0.25">
      <c r="O22" s="4">
        <v>11.111111111111111</v>
      </c>
      <c r="R22" s="4">
        <v>0.11845927133333017</v>
      </c>
      <c r="U22" s="4">
        <v>1.7380903615102809E-2</v>
      </c>
    </row>
    <row r="23" spans="1:21" ht="15.75" thickBot="1" x14ac:dyDescent="0.3"/>
    <row r="24" spans="1:21" ht="15.75" thickBot="1" x14ac:dyDescent="0.3">
      <c r="N24" s="62" t="s">
        <v>4</v>
      </c>
      <c r="O24" s="5" t="s">
        <v>153</v>
      </c>
      <c r="P24" s="5" t="s">
        <v>155</v>
      </c>
      <c r="Q24" s="5" t="s">
        <v>159</v>
      </c>
      <c r="R24" s="5" t="s">
        <v>157</v>
      </c>
    </row>
    <row r="25" spans="1:21" x14ac:dyDescent="0.25">
      <c r="N25" s="42">
        <v>0.30099999999999999</v>
      </c>
      <c r="O25" s="51">
        <v>0</v>
      </c>
      <c r="P25" s="51">
        <f>N25*$O$22</f>
        <v>3.3444444444444441</v>
      </c>
      <c r="Q25" s="51">
        <f>O25*$U$22</f>
        <v>0</v>
      </c>
      <c r="R25" s="43" t="str">
        <f>CONCATENATE(Q25,",",P25)</f>
        <v>0,3.34444444444444</v>
      </c>
    </row>
    <row r="26" spans="1:21" x14ac:dyDescent="0.25">
      <c r="N26" s="17">
        <v>1</v>
      </c>
      <c r="O26" s="10">
        <v>0.61683255000000003</v>
      </c>
      <c r="P26" s="10">
        <f t="shared" ref="P26:P41" si="11">N26*$O$22</f>
        <v>11.111111111111111</v>
      </c>
      <c r="Q26" s="10">
        <f t="shared" ref="Q26:Q41" si="12">O26*$U$22</f>
        <v>1.0721107098208085E-2</v>
      </c>
      <c r="R26" s="58" t="str">
        <f t="shared" ref="R26:R41" si="13">CONCATENATE(Q26,",",P26)</f>
        <v>0.0107211070982081,11.1111111111111</v>
      </c>
    </row>
    <row r="27" spans="1:21" x14ac:dyDescent="0.25">
      <c r="N27" s="17">
        <v>2</v>
      </c>
      <c r="O27" s="10">
        <v>3.8540825500000002</v>
      </c>
      <c r="P27" s="10">
        <f t="shared" si="11"/>
        <v>22.222222222222221</v>
      </c>
      <c r="Q27" s="10">
        <f t="shared" si="12"/>
        <v>6.6987437326199661E-2</v>
      </c>
      <c r="R27" s="58" t="str">
        <f t="shared" si="13"/>
        <v>0.0669874373261997,22.2222222222222</v>
      </c>
    </row>
    <row r="28" spans="1:21" x14ac:dyDescent="0.25">
      <c r="N28" s="17">
        <v>3</v>
      </c>
      <c r="O28" s="10">
        <v>9.2634825499999991</v>
      </c>
      <c r="P28" s="10">
        <f t="shared" si="11"/>
        <v>33.333333333333329</v>
      </c>
      <c r="Q28" s="10">
        <f t="shared" si="12"/>
        <v>0.16100769734173676</v>
      </c>
      <c r="R28" s="58" t="str">
        <f t="shared" si="13"/>
        <v>0.161007697341737,33.3333333333333</v>
      </c>
    </row>
    <row r="29" spans="1:21" x14ac:dyDescent="0.25">
      <c r="N29" s="17">
        <v>4</v>
      </c>
      <c r="O29" s="10">
        <v>15.301762549999999</v>
      </c>
      <c r="P29" s="10">
        <f t="shared" si="11"/>
        <v>44.444444444444443</v>
      </c>
      <c r="Q29" s="10">
        <f t="shared" si="12"/>
        <v>0.26595846002273976</v>
      </c>
      <c r="R29" s="58" t="str">
        <f t="shared" si="13"/>
        <v>0.26595846002274,44.4444444444444</v>
      </c>
    </row>
    <row r="30" spans="1:21" x14ac:dyDescent="0.25">
      <c r="N30" s="17">
        <v>5</v>
      </c>
      <c r="O30" s="10">
        <v>21.39709255</v>
      </c>
      <c r="P30" s="10">
        <f t="shared" si="11"/>
        <v>55.555555555555557</v>
      </c>
      <c r="Q30" s="10">
        <f t="shared" si="12"/>
        <v>0.37190080325498437</v>
      </c>
      <c r="R30" s="58" t="str">
        <f t="shared" si="13"/>
        <v>0.371900803254984,55.5555555555556</v>
      </c>
    </row>
    <row r="31" spans="1:21" x14ac:dyDescent="0.25">
      <c r="N31" s="17">
        <v>6</v>
      </c>
      <c r="O31" s="10">
        <v>29.190422550000001</v>
      </c>
      <c r="P31" s="10">
        <f t="shared" si="11"/>
        <v>66.666666666666657</v>
      </c>
      <c r="Q31" s="10">
        <f t="shared" si="12"/>
        <v>0.5073559208256736</v>
      </c>
      <c r="R31" s="58" t="str">
        <f t="shared" si="13"/>
        <v>0.507355920825674,66.6666666666667</v>
      </c>
    </row>
    <row r="32" spans="1:21" x14ac:dyDescent="0.25">
      <c r="N32" s="17">
        <v>7</v>
      </c>
      <c r="O32" s="10">
        <v>43.929702550000002</v>
      </c>
      <c r="P32" s="10">
        <f t="shared" si="11"/>
        <v>77.777777777777771</v>
      </c>
      <c r="Q32" s="10">
        <f t="shared" si="12"/>
        <v>0.76353792586168612</v>
      </c>
      <c r="R32" s="58" t="str">
        <f t="shared" si="13"/>
        <v>0.763537925861686,77.7777777777778</v>
      </c>
    </row>
    <row r="33" spans="14:18" x14ac:dyDescent="0.25">
      <c r="N33" s="17">
        <v>8</v>
      </c>
      <c r="O33" s="10">
        <v>88.001702550000005</v>
      </c>
      <c r="P33" s="10">
        <f t="shared" si="11"/>
        <v>88.888888888888886</v>
      </c>
      <c r="Q33" s="10">
        <f t="shared" si="12"/>
        <v>1.5295491099864971</v>
      </c>
      <c r="R33" s="58" t="str">
        <f t="shared" si="13"/>
        <v>1.5295491099865,88.8888888888889</v>
      </c>
    </row>
    <row r="34" spans="14:18" x14ac:dyDescent="0.25">
      <c r="N34" s="17">
        <v>9</v>
      </c>
      <c r="O34" s="10">
        <v>205.13200255000001</v>
      </c>
      <c r="P34" s="10">
        <f t="shared" si="11"/>
        <v>100</v>
      </c>
      <c r="Q34" s="10">
        <f t="shared" si="12"/>
        <v>3.5653795646945738</v>
      </c>
      <c r="R34" s="58" t="str">
        <f t="shared" si="13"/>
        <v>3.56537956469457,100</v>
      </c>
    </row>
    <row r="35" spans="14:18" x14ac:dyDescent="0.25">
      <c r="N35" s="17">
        <v>10</v>
      </c>
      <c r="O35" s="10">
        <v>409.69790254999998</v>
      </c>
      <c r="P35" s="10">
        <f t="shared" si="11"/>
        <v>111.11111111111111</v>
      </c>
      <c r="Q35" s="10">
        <f t="shared" si="12"/>
        <v>7.1209197555313333</v>
      </c>
      <c r="R35" s="58" t="str">
        <f t="shared" si="13"/>
        <v>7.12091975553133,111.111111111111</v>
      </c>
    </row>
    <row r="36" spans="14:18" x14ac:dyDescent="0.25">
      <c r="N36" s="17">
        <v>11</v>
      </c>
      <c r="O36" s="10">
        <v>683.61890255000003</v>
      </c>
      <c r="P36" s="10">
        <f t="shared" si="11"/>
        <v>122.22222222222221</v>
      </c>
      <c r="Q36" s="10">
        <f t="shared" si="12"/>
        <v>11.88191425468391</v>
      </c>
      <c r="R36" s="58" t="str">
        <f t="shared" si="13"/>
        <v>11.8819142546839,122.222222222222</v>
      </c>
    </row>
    <row r="37" spans="14:18" x14ac:dyDescent="0.25">
      <c r="N37" s="17">
        <v>12</v>
      </c>
      <c r="O37" s="10">
        <v>1015.5739025500001</v>
      </c>
      <c r="P37" s="10">
        <f t="shared" si="11"/>
        <v>133.33333333333331</v>
      </c>
      <c r="Q37" s="10">
        <f t="shared" si="12"/>
        <v>17.651592114235363</v>
      </c>
      <c r="R37" s="58" t="str">
        <f t="shared" si="13"/>
        <v>17.6515921142354,133.333333333333</v>
      </c>
    </row>
    <row r="38" spans="14:18" x14ac:dyDescent="0.25">
      <c r="N38" s="17">
        <v>13</v>
      </c>
      <c r="O38" s="10">
        <v>1398.0399025500001</v>
      </c>
      <c r="P38" s="10">
        <f t="shared" si="11"/>
        <v>144.44444444444443</v>
      </c>
      <c r="Q38" s="10">
        <f t="shared" si="12"/>
        <v>24.299196796289273</v>
      </c>
      <c r="R38" s="58" t="str">
        <f t="shared" si="13"/>
        <v>24.2991967962893,144.444444444444</v>
      </c>
    </row>
    <row r="39" spans="14:18" x14ac:dyDescent="0.25">
      <c r="N39" s="17">
        <v>14</v>
      </c>
      <c r="O39" s="10">
        <v>1824.6159025500001</v>
      </c>
      <c r="P39" s="10">
        <f t="shared" si="11"/>
        <v>155.55555555555554</v>
      </c>
      <c r="Q39" s="10">
        <f t="shared" si="12"/>
        <v>31.713473136805369</v>
      </c>
      <c r="R39" s="58" t="str">
        <f t="shared" si="13"/>
        <v>31.7134731368054,155.555555555556</v>
      </c>
    </row>
    <row r="40" spans="14:18" x14ac:dyDescent="0.25">
      <c r="N40" s="17">
        <v>14.02</v>
      </c>
      <c r="O40" s="10">
        <v>1833.5657705499998</v>
      </c>
      <c r="P40" s="10">
        <f t="shared" si="11"/>
        <v>155.77777777777777</v>
      </c>
      <c r="Q40" s="10">
        <f t="shared" si="12"/>
        <v>31.869029929881258</v>
      </c>
      <c r="R40" s="58" t="str">
        <f t="shared" si="13"/>
        <v>31.8690299298813,155.777777777778</v>
      </c>
    </row>
    <row r="41" spans="14:18" ht="15.75" thickBot="1" x14ac:dyDescent="0.3">
      <c r="N41" s="19">
        <v>14.65</v>
      </c>
      <c r="O41" s="34">
        <v>2122.2943925500003</v>
      </c>
      <c r="P41" s="34">
        <f t="shared" si="11"/>
        <v>162.77777777777777</v>
      </c>
      <c r="Q41" s="34">
        <f t="shared" si="12"/>
        <v>36.887394279784722</v>
      </c>
      <c r="R41" s="59" t="str">
        <f t="shared" si="13"/>
        <v>36.8873942797847,162.777777777778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7AA4-0964-453E-BE14-90E7E0778957}">
  <dimension ref="A1:U39"/>
  <sheetViews>
    <sheetView zoomScale="85" zoomScaleNormal="85" workbookViewId="0">
      <selection activeCell="V43" sqref="V43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3.85546875" style="4" customWidth="1"/>
    <col min="16" max="16" width="16.85546875" style="4" customWidth="1"/>
    <col min="17" max="17" width="17.85546875" style="4" customWidth="1"/>
    <col min="18" max="18" width="34.425781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0.44993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1.7548999999999999</v>
      </c>
      <c r="E3" s="10">
        <f>D3+D2</f>
        <v>2.2048299999999998</v>
      </c>
      <c r="F3" s="10">
        <f>C3*E3</f>
        <v>2.2048299999999998</v>
      </c>
      <c r="G3" s="10">
        <f>G2+F3</f>
        <v>2.2048299999999998</v>
      </c>
      <c r="H3" s="10">
        <f t="shared" ref="H3:H17" si="1">B3*D3</f>
        <v>1.7548999999999999</v>
      </c>
      <c r="I3" s="10">
        <f>H3+H2</f>
        <v>1.7548999999999999</v>
      </c>
      <c r="J3" s="10">
        <f t="shared" ref="J3:J17" si="2">C3*I3</f>
        <v>1.7548999999999999</v>
      </c>
      <c r="K3" s="58">
        <f>K2+J3</f>
        <v>1.7548999999999999</v>
      </c>
      <c r="N3" s="17">
        <v>1</v>
      </c>
      <c r="O3" s="10">
        <v>2.2048299999999998</v>
      </c>
      <c r="P3" s="10">
        <f t="shared" si="0"/>
        <v>11.111111111111111</v>
      </c>
      <c r="Q3" s="10">
        <f t="shared" ref="Q3:Q17" si="3">O3*$R$21</f>
        <v>0.26118255521386635</v>
      </c>
      <c r="R3" s="58" t="str">
        <f t="shared" ref="R3:R17" si="4">CONCATENATE(Q3,",",P3)</f>
        <v>0.261182555213866,11.1111111111111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2.1924999999999999</v>
      </c>
      <c r="E4" s="10">
        <f t="shared" ref="E4:E17" si="6">D4+D3</f>
        <v>3.9474</v>
      </c>
      <c r="F4" s="10">
        <f t="shared" ref="F4:F17" si="7">C4*E4</f>
        <v>3.9474</v>
      </c>
      <c r="G4" s="10">
        <f t="shared" ref="G4:G17" si="8">G3+F4</f>
        <v>6.1522299999999994</v>
      </c>
      <c r="H4" s="10">
        <f t="shared" si="1"/>
        <v>4.3849999999999998</v>
      </c>
      <c r="I4" s="10">
        <f t="shared" ref="I4:I17" si="9">H4+H3</f>
        <v>6.1398999999999999</v>
      </c>
      <c r="J4" s="10">
        <f t="shared" si="2"/>
        <v>6.1398999999999999</v>
      </c>
      <c r="K4" s="58">
        <f t="shared" ref="K4:K17" si="10">K3+J4</f>
        <v>7.8948</v>
      </c>
      <c r="N4" s="17">
        <v>2</v>
      </c>
      <c r="O4" s="10">
        <v>6.1522299999999994</v>
      </c>
      <c r="P4" s="10">
        <f t="shared" si="0"/>
        <v>22.222222222222221</v>
      </c>
      <c r="Q4" s="10">
        <f t="shared" si="3"/>
        <v>0.72878868287505383</v>
      </c>
      <c r="R4" s="58" t="str">
        <f t="shared" si="4"/>
        <v>0.728788682875054,22.2222222222222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2.4142999999999999</v>
      </c>
      <c r="E5" s="10">
        <f t="shared" si="6"/>
        <v>4.6067999999999998</v>
      </c>
      <c r="F5" s="10">
        <f t="shared" si="7"/>
        <v>4.6067999999999998</v>
      </c>
      <c r="G5" s="10">
        <f t="shared" si="8"/>
        <v>10.759029999999999</v>
      </c>
      <c r="H5" s="10">
        <f t="shared" si="1"/>
        <v>7.2428999999999997</v>
      </c>
      <c r="I5" s="10">
        <f t="shared" si="9"/>
        <v>11.6279</v>
      </c>
      <c r="J5" s="10">
        <f t="shared" si="2"/>
        <v>11.6279</v>
      </c>
      <c r="K5" s="58">
        <f t="shared" si="10"/>
        <v>19.5227</v>
      </c>
      <c r="N5" s="17">
        <v>3</v>
      </c>
      <c r="O5" s="10">
        <v>10.759029999999999</v>
      </c>
      <c r="P5" s="10">
        <f t="shared" si="0"/>
        <v>33.333333333333329</v>
      </c>
      <c r="Q5" s="10">
        <f t="shared" si="3"/>
        <v>1.2745068540534392</v>
      </c>
      <c r="R5" s="58" t="str">
        <f t="shared" si="4"/>
        <v>1.27450685405344,33.3333333333333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2.6008</v>
      </c>
      <c r="E6" s="10">
        <f t="shared" si="6"/>
        <v>5.0151000000000003</v>
      </c>
      <c r="F6" s="10">
        <f t="shared" si="7"/>
        <v>5.0151000000000003</v>
      </c>
      <c r="G6" s="10">
        <f t="shared" si="8"/>
        <v>15.77413</v>
      </c>
      <c r="H6" s="10">
        <f t="shared" si="1"/>
        <v>10.4032</v>
      </c>
      <c r="I6" s="10">
        <f t="shared" si="9"/>
        <v>17.646100000000001</v>
      </c>
      <c r="J6" s="10">
        <f t="shared" si="2"/>
        <v>17.646100000000001</v>
      </c>
      <c r="K6" s="58">
        <f t="shared" si="10"/>
        <v>37.168800000000005</v>
      </c>
      <c r="N6" s="17">
        <v>4</v>
      </c>
      <c r="O6" s="10">
        <v>15.77413</v>
      </c>
      <c r="P6" s="10">
        <f t="shared" si="0"/>
        <v>44.444444444444443</v>
      </c>
      <c r="Q6" s="10">
        <f t="shared" si="3"/>
        <v>1.8685919457172235</v>
      </c>
      <c r="R6" s="58" t="str">
        <f t="shared" si="4"/>
        <v>1.86859194571722,44.4444444444444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3.0063</v>
      </c>
      <c r="E7" s="10">
        <f t="shared" si="6"/>
        <v>5.6071</v>
      </c>
      <c r="F7" s="10">
        <f t="shared" si="7"/>
        <v>5.6071</v>
      </c>
      <c r="G7" s="10">
        <f t="shared" si="8"/>
        <v>21.381229999999999</v>
      </c>
      <c r="H7" s="10">
        <f t="shared" si="1"/>
        <v>15.031499999999999</v>
      </c>
      <c r="I7" s="10">
        <f t="shared" si="9"/>
        <v>25.434699999999999</v>
      </c>
      <c r="J7" s="10">
        <f t="shared" si="2"/>
        <v>25.434699999999999</v>
      </c>
      <c r="K7" s="58">
        <f t="shared" si="10"/>
        <v>62.603500000000004</v>
      </c>
      <c r="N7" s="17">
        <v>5</v>
      </c>
      <c r="O7" s="10">
        <v>21.381229999999999</v>
      </c>
      <c r="P7" s="10">
        <f t="shared" si="0"/>
        <v>55.555555555555557</v>
      </c>
      <c r="Q7" s="10">
        <f t="shared" si="3"/>
        <v>2.5328049260103391</v>
      </c>
      <c r="R7" s="58" t="str">
        <f t="shared" si="4"/>
        <v>2.53280492601034,55.5555555555556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3.9144999999999999</v>
      </c>
      <c r="E8" s="10">
        <f t="shared" si="6"/>
        <v>6.9207999999999998</v>
      </c>
      <c r="F8" s="10">
        <f t="shared" si="7"/>
        <v>6.9207999999999998</v>
      </c>
      <c r="G8" s="10">
        <f t="shared" si="8"/>
        <v>28.302029999999998</v>
      </c>
      <c r="H8" s="10">
        <f t="shared" si="1"/>
        <v>23.486999999999998</v>
      </c>
      <c r="I8" s="10">
        <f t="shared" si="9"/>
        <v>38.518499999999996</v>
      </c>
      <c r="J8" s="10">
        <f t="shared" si="2"/>
        <v>38.518499999999996</v>
      </c>
      <c r="K8" s="58">
        <f t="shared" si="10"/>
        <v>101.122</v>
      </c>
      <c r="N8" s="17">
        <v>6</v>
      </c>
      <c r="O8" s="10">
        <v>28.302029999999998</v>
      </c>
      <c r="P8" s="10">
        <f t="shared" si="0"/>
        <v>66.666666666666657</v>
      </c>
      <c r="Q8" s="10">
        <f t="shared" si="3"/>
        <v>3.3526378510540504</v>
      </c>
      <c r="R8" s="58" t="str">
        <f t="shared" si="4"/>
        <v>3.35263785105405,66.6666666666667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5.9893000000000001</v>
      </c>
      <c r="E9" s="10">
        <f t="shared" si="6"/>
        <v>9.9038000000000004</v>
      </c>
      <c r="F9" s="10">
        <f t="shared" si="7"/>
        <v>9.9038000000000004</v>
      </c>
      <c r="G9" s="10">
        <f t="shared" si="8"/>
        <v>38.205829999999999</v>
      </c>
      <c r="H9" s="10">
        <f t="shared" si="1"/>
        <v>41.9251</v>
      </c>
      <c r="I9" s="10">
        <f t="shared" si="9"/>
        <v>65.412099999999995</v>
      </c>
      <c r="J9" s="10">
        <f t="shared" si="2"/>
        <v>65.412099999999995</v>
      </c>
      <c r="K9" s="58">
        <f t="shared" si="10"/>
        <v>166.5341</v>
      </c>
      <c r="N9" s="17">
        <v>7</v>
      </c>
      <c r="O9" s="10">
        <v>38.205829999999999</v>
      </c>
      <c r="P9" s="10">
        <f t="shared" si="0"/>
        <v>77.777777777777771</v>
      </c>
      <c r="Q9" s="10">
        <f t="shared" si="3"/>
        <v>4.5258347824850862</v>
      </c>
      <c r="R9" s="58" t="str">
        <f t="shared" si="4"/>
        <v>4.52583478248509,77.7777777777778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9.7814999999999994</v>
      </c>
      <c r="E10" s="10">
        <f t="shared" si="6"/>
        <v>15.770799999999999</v>
      </c>
      <c r="F10" s="10">
        <f t="shared" si="7"/>
        <v>15.770799999999999</v>
      </c>
      <c r="G10" s="10">
        <f t="shared" si="8"/>
        <v>53.97663</v>
      </c>
      <c r="H10" s="10">
        <f t="shared" si="1"/>
        <v>78.251999999999995</v>
      </c>
      <c r="I10" s="10">
        <f t="shared" si="9"/>
        <v>120.1771</v>
      </c>
      <c r="J10" s="10">
        <f t="shared" si="2"/>
        <v>120.1771</v>
      </c>
      <c r="K10" s="58">
        <f t="shared" si="10"/>
        <v>286.71119999999996</v>
      </c>
      <c r="N10" s="17">
        <v>8</v>
      </c>
      <c r="O10" s="10">
        <v>53.97663</v>
      </c>
      <c r="P10" s="10">
        <f t="shared" si="0"/>
        <v>88.888888888888886</v>
      </c>
      <c r="Q10" s="10">
        <f t="shared" si="3"/>
        <v>6.3940322588287692</v>
      </c>
      <c r="R10" s="58" t="str">
        <f t="shared" si="4"/>
        <v>6.39403225882877,88.8888888888889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12.467000000000001</v>
      </c>
      <c r="E11" s="10">
        <f t="shared" si="6"/>
        <v>22.2485</v>
      </c>
      <c r="F11" s="10">
        <f t="shared" si="7"/>
        <v>22.2485</v>
      </c>
      <c r="G11" s="10">
        <f t="shared" si="8"/>
        <v>76.225130000000007</v>
      </c>
      <c r="H11" s="10">
        <f t="shared" si="1"/>
        <v>112.203</v>
      </c>
      <c r="I11" s="10">
        <f t="shared" si="9"/>
        <v>190.45499999999998</v>
      </c>
      <c r="J11" s="10">
        <f t="shared" si="2"/>
        <v>190.45499999999998</v>
      </c>
      <c r="K11" s="58">
        <f t="shared" si="10"/>
        <v>477.16619999999995</v>
      </c>
      <c r="N11" s="17">
        <v>9</v>
      </c>
      <c r="O11" s="10">
        <v>76.225130000000007</v>
      </c>
      <c r="P11" s="10">
        <f t="shared" si="0"/>
        <v>100</v>
      </c>
      <c r="Q11" s="10">
        <f t="shared" si="3"/>
        <v>9.0295733570883669</v>
      </c>
      <c r="R11" s="58" t="str">
        <f t="shared" si="4"/>
        <v>9.02957335708837,100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14.102</v>
      </c>
      <c r="E12" s="10">
        <f t="shared" si="6"/>
        <v>26.569000000000003</v>
      </c>
      <c r="F12" s="10">
        <f t="shared" si="7"/>
        <v>26.569000000000003</v>
      </c>
      <c r="G12" s="10">
        <f t="shared" si="8"/>
        <v>102.79413000000001</v>
      </c>
      <c r="H12" s="10">
        <f t="shared" si="1"/>
        <v>141.02000000000001</v>
      </c>
      <c r="I12" s="10">
        <f t="shared" si="9"/>
        <v>253.22300000000001</v>
      </c>
      <c r="J12" s="10">
        <f t="shared" si="2"/>
        <v>253.22300000000001</v>
      </c>
      <c r="K12" s="58">
        <f t="shared" si="10"/>
        <v>730.38919999999996</v>
      </c>
      <c r="N12" s="17">
        <v>10</v>
      </c>
      <c r="O12" s="10">
        <v>102.79413000000001</v>
      </c>
      <c r="P12" s="10">
        <f t="shared" si="0"/>
        <v>111.11111111111111</v>
      </c>
      <c r="Q12" s="10">
        <f t="shared" si="3"/>
        <v>12.176917737143617</v>
      </c>
      <c r="R12" s="58" t="str">
        <f t="shared" si="4"/>
        <v>12.1769177371436,111.111111111111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15.11</v>
      </c>
      <c r="E13" s="10">
        <f t="shared" si="6"/>
        <v>29.212</v>
      </c>
      <c r="F13" s="10">
        <f t="shared" si="7"/>
        <v>29.212</v>
      </c>
      <c r="G13" s="10">
        <f t="shared" si="8"/>
        <v>132.00613000000001</v>
      </c>
      <c r="H13" s="10">
        <f t="shared" si="1"/>
        <v>166.20999999999998</v>
      </c>
      <c r="I13" s="10">
        <f t="shared" si="9"/>
        <v>307.23</v>
      </c>
      <c r="J13" s="10">
        <f t="shared" si="2"/>
        <v>307.23</v>
      </c>
      <c r="K13" s="58">
        <f t="shared" si="10"/>
        <v>1037.6192000000001</v>
      </c>
      <c r="N13" s="17">
        <v>11</v>
      </c>
      <c r="O13" s="10">
        <v>132.00613000000001</v>
      </c>
      <c r="P13" s="10">
        <f t="shared" si="0"/>
        <v>122.22222222222221</v>
      </c>
      <c r="Q13" s="10">
        <f t="shared" si="3"/>
        <v>15.637349971332858</v>
      </c>
      <c r="R13" s="58" t="str">
        <f t="shared" si="4"/>
        <v>15.6373499713329,122.222222222222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15.683</v>
      </c>
      <c r="E14" s="10">
        <f t="shared" si="6"/>
        <v>30.792999999999999</v>
      </c>
      <c r="F14" s="10">
        <f t="shared" si="7"/>
        <v>30.792999999999999</v>
      </c>
      <c r="G14" s="10">
        <f t="shared" si="8"/>
        <v>162.79913000000002</v>
      </c>
      <c r="H14" s="10">
        <f t="shared" si="1"/>
        <v>188.196</v>
      </c>
      <c r="I14" s="10">
        <f t="shared" si="9"/>
        <v>354.40599999999995</v>
      </c>
      <c r="J14" s="10">
        <f t="shared" si="2"/>
        <v>354.40599999999995</v>
      </c>
      <c r="K14" s="58">
        <f t="shared" si="10"/>
        <v>1392.0252</v>
      </c>
      <c r="N14" s="17">
        <v>12</v>
      </c>
      <c r="O14" s="10">
        <v>162.79913000000002</v>
      </c>
      <c r="P14" s="10">
        <f t="shared" si="0"/>
        <v>133.33333333333331</v>
      </c>
      <c r="Q14" s="10">
        <f t="shared" si="3"/>
        <v>19.285066313500096</v>
      </c>
      <c r="R14" s="58" t="str">
        <f t="shared" si="4"/>
        <v>19.2850663135001,133.333333333333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15.98</v>
      </c>
      <c r="E15" s="10">
        <f t="shared" si="6"/>
        <v>31.663</v>
      </c>
      <c r="F15" s="10">
        <f t="shared" si="7"/>
        <v>31.663</v>
      </c>
      <c r="G15" s="10">
        <f t="shared" si="8"/>
        <v>194.46213000000003</v>
      </c>
      <c r="H15" s="10">
        <f t="shared" si="1"/>
        <v>207.74</v>
      </c>
      <c r="I15" s="10">
        <f t="shared" si="9"/>
        <v>395.93600000000004</v>
      </c>
      <c r="J15" s="10">
        <f t="shared" si="2"/>
        <v>395.93600000000004</v>
      </c>
      <c r="K15" s="58">
        <f t="shared" si="10"/>
        <v>1787.9612000000002</v>
      </c>
      <c r="N15" s="17">
        <v>13</v>
      </c>
      <c r="O15" s="10">
        <v>194.46213000000003</v>
      </c>
      <c r="P15" s="10">
        <f t="shared" si="0"/>
        <v>144.44444444444443</v>
      </c>
      <c r="Q15" s="10">
        <f t="shared" si="3"/>
        <v>23.035842221727329</v>
      </c>
      <c r="R15" s="58" t="str">
        <f t="shared" si="4"/>
        <v>23.0358422217273,144.444444444444</v>
      </c>
    </row>
    <row r="16" spans="1:18" x14ac:dyDescent="0.25">
      <c r="A16" s="17" t="s">
        <v>154</v>
      </c>
      <c r="B16" s="10">
        <v>13.75</v>
      </c>
      <c r="C16" s="10">
        <f t="shared" si="5"/>
        <v>0.75</v>
      </c>
      <c r="D16" s="10">
        <v>16</v>
      </c>
      <c r="E16" s="10">
        <f t="shared" si="6"/>
        <v>31.98</v>
      </c>
      <c r="F16" s="10">
        <f t="shared" si="7"/>
        <v>23.984999999999999</v>
      </c>
      <c r="G16" s="10">
        <f t="shared" si="8"/>
        <v>218.44713000000002</v>
      </c>
      <c r="H16" s="10">
        <f t="shared" si="1"/>
        <v>220</v>
      </c>
      <c r="I16" s="10">
        <f t="shared" si="9"/>
        <v>427.74</v>
      </c>
      <c r="J16" s="10">
        <f t="shared" si="2"/>
        <v>320.80500000000001</v>
      </c>
      <c r="K16" s="58">
        <f t="shared" si="10"/>
        <v>2108.7662</v>
      </c>
      <c r="N16" s="17">
        <v>13.75</v>
      </c>
      <c r="O16" s="10">
        <v>218.44713000000002</v>
      </c>
      <c r="P16" s="10">
        <f t="shared" si="0"/>
        <v>152.77777777777777</v>
      </c>
      <c r="Q16" s="10">
        <f t="shared" si="3"/>
        <v>25.87708784465725</v>
      </c>
      <c r="R16" s="58" t="str">
        <f t="shared" si="4"/>
        <v>25.8770878446573,152.777777777778</v>
      </c>
    </row>
    <row r="17" spans="1:21" ht="15.75" thickBot="1" x14ac:dyDescent="0.3">
      <c r="A17" s="19" t="s">
        <v>5</v>
      </c>
      <c r="B17" s="34">
        <v>14.37</v>
      </c>
      <c r="C17" s="34">
        <f t="shared" si="5"/>
        <v>0.61999999999999922</v>
      </c>
      <c r="D17" s="34">
        <v>16</v>
      </c>
      <c r="E17" s="34">
        <f t="shared" si="6"/>
        <v>32</v>
      </c>
      <c r="F17" s="34">
        <f t="shared" si="7"/>
        <v>19.839999999999975</v>
      </c>
      <c r="G17" s="34">
        <f t="shared" si="8"/>
        <v>238.28712999999999</v>
      </c>
      <c r="H17" s="34">
        <f t="shared" si="1"/>
        <v>229.92</v>
      </c>
      <c r="I17" s="34">
        <f t="shared" si="9"/>
        <v>449.91999999999996</v>
      </c>
      <c r="J17" s="34">
        <f t="shared" si="2"/>
        <v>278.9503999999996</v>
      </c>
      <c r="K17" s="59">
        <f t="shared" si="10"/>
        <v>2387.7165999999997</v>
      </c>
      <c r="N17" s="19">
        <v>14.37</v>
      </c>
      <c r="O17" s="34">
        <v>238.28712999999999</v>
      </c>
      <c r="P17" s="34">
        <f t="shared" si="0"/>
        <v>159.66666666666666</v>
      </c>
      <c r="Q17" s="34">
        <f t="shared" si="3"/>
        <v>28.22731978791052</v>
      </c>
      <c r="R17" s="59" t="str">
        <f t="shared" si="4"/>
        <v>28.2273197879105,159.666666666667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62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1.7548999999999999</v>
      </c>
      <c r="P25" s="10">
        <f t="shared" ref="P25:P39" si="11">N25*$O$21</f>
        <v>11.111111111111111</v>
      </c>
      <c r="Q25" s="10">
        <f t="shared" ref="Q25:Q39" si="12">O25*$U$21</f>
        <v>3.0501747754143917E-2</v>
      </c>
      <c r="R25" s="58" t="str">
        <f t="shared" ref="R25:R39" si="13">CONCATENATE(Q25,",",P25)</f>
        <v>0.0305017477541439,11.1111111111111</v>
      </c>
    </row>
    <row r="26" spans="1:21" x14ac:dyDescent="0.25">
      <c r="N26" s="17">
        <v>2</v>
      </c>
      <c r="O26" s="10">
        <v>7.8948</v>
      </c>
      <c r="P26" s="10">
        <f t="shared" si="11"/>
        <v>22.222222222222221</v>
      </c>
      <c r="Q26" s="10">
        <f t="shared" si="12"/>
        <v>0.13721875786051366</v>
      </c>
      <c r="R26" s="58" t="str">
        <f t="shared" si="13"/>
        <v>0.137218757860514,22.2222222222222</v>
      </c>
    </row>
    <row r="27" spans="1:21" x14ac:dyDescent="0.25">
      <c r="N27" s="17">
        <v>3</v>
      </c>
      <c r="O27" s="10">
        <v>19.5227</v>
      </c>
      <c r="P27" s="10">
        <f t="shared" si="11"/>
        <v>33.333333333333329</v>
      </c>
      <c r="Q27" s="10">
        <f t="shared" si="12"/>
        <v>0.33932216700656759</v>
      </c>
      <c r="R27" s="58" t="str">
        <f t="shared" si="13"/>
        <v>0.339322167006568,33.3333333333333</v>
      </c>
    </row>
    <row r="28" spans="1:21" x14ac:dyDescent="0.25">
      <c r="N28" s="17">
        <v>4</v>
      </c>
      <c r="O28" s="10">
        <v>37.168800000000005</v>
      </c>
      <c r="P28" s="10">
        <f t="shared" si="11"/>
        <v>44.444444444444443</v>
      </c>
      <c r="Q28" s="10">
        <f t="shared" si="12"/>
        <v>0.64602733028903336</v>
      </c>
      <c r="R28" s="58" t="str">
        <f t="shared" si="13"/>
        <v>0.646027330289033,44.4444444444444</v>
      </c>
    </row>
    <row r="29" spans="1:21" x14ac:dyDescent="0.25">
      <c r="N29" s="17">
        <v>5</v>
      </c>
      <c r="O29" s="10">
        <v>62.603500000000004</v>
      </c>
      <c r="P29" s="10">
        <f t="shared" si="11"/>
        <v>55.555555555555557</v>
      </c>
      <c r="Q29" s="10">
        <f t="shared" si="12"/>
        <v>1.0881053994680887</v>
      </c>
      <c r="R29" s="58" t="str">
        <f t="shared" si="13"/>
        <v>1.08810539946809,55.5555555555556</v>
      </c>
    </row>
    <row r="30" spans="1:21" x14ac:dyDescent="0.25">
      <c r="N30" s="17">
        <v>6</v>
      </c>
      <c r="O30" s="10">
        <v>101.122</v>
      </c>
      <c r="P30" s="10">
        <f t="shared" si="11"/>
        <v>66.666666666666657</v>
      </c>
      <c r="Q30" s="10">
        <f t="shared" si="12"/>
        <v>1.7575917353664261</v>
      </c>
      <c r="R30" s="58" t="str">
        <f t="shared" si="13"/>
        <v>1.75759173536643,66.6666666666667</v>
      </c>
    </row>
    <row r="31" spans="1:21" x14ac:dyDescent="0.25">
      <c r="N31" s="17">
        <v>7</v>
      </c>
      <c r="O31" s="10">
        <v>166.5341</v>
      </c>
      <c r="P31" s="10">
        <f t="shared" si="11"/>
        <v>77.777777777777771</v>
      </c>
      <c r="Q31" s="10">
        <f t="shared" si="12"/>
        <v>2.8945131407278923</v>
      </c>
      <c r="R31" s="58" t="str">
        <f t="shared" si="13"/>
        <v>2.89451314072789,77.7777777777778</v>
      </c>
    </row>
    <row r="32" spans="1:21" x14ac:dyDescent="0.25">
      <c r="N32" s="17">
        <v>8</v>
      </c>
      <c r="O32" s="10">
        <v>286.71119999999996</v>
      </c>
      <c r="P32" s="10">
        <f t="shared" si="11"/>
        <v>88.888888888888886</v>
      </c>
      <c r="Q32" s="10">
        <f t="shared" si="12"/>
        <v>4.9832997325704635</v>
      </c>
      <c r="R32" s="58" t="str">
        <f t="shared" si="13"/>
        <v>4.98329973257046,88.8888888888889</v>
      </c>
    </row>
    <row r="33" spans="14:18" x14ac:dyDescent="0.25">
      <c r="N33" s="17">
        <v>9</v>
      </c>
      <c r="O33" s="10">
        <v>477.16619999999995</v>
      </c>
      <c r="P33" s="10">
        <f t="shared" si="11"/>
        <v>100</v>
      </c>
      <c r="Q33" s="10">
        <f t="shared" si="12"/>
        <v>8.2935797305848684</v>
      </c>
      <c r="R33" s="58" t="str">
        <f t="shared" si="13"/>
        <v>8.29357973058487,100</v>
      </c>
    </row>
    <row r="34" spans="14:18" x14ac:dyDescent="0.25">
      <c r="N34" s="17">
        <v>10</v>
      </c>
      <c r="O34" s="10">
        <v>730.38919999999996</v>
      </c>
      <c r="P34" s="10">
        <f t="shared" si="11"/>
        <v>111.11111111111111</v>
      </c>
      <c r="Q34" s="10">
        <f t="shared" si="12"/>
        <v>12.694824286712048</v>
      </c>
      <c r="R34" s="58" t="str">
        <f t="shared" si="13"/>
        <v>12.694824286712,111.111111111111</v>
      </c>
    </row>
    <row r="35" spans="14:18" x14ac:dyDescent="0.25">
      <c r="N35" s="17">
        <v>11</v>
      </c>
      <c r="O35" s="10">
        <v>1037.6192000000001</v>
      </c>
      <c r="P35" s="10">
        <f t="shared" si="11"/>
        <v>122.22222222222221</v>
      </c>
      <c r="Q35" s="10">
        <f t="shared" si="12"/>
        <v>18.034759304380085</v>
      </c>
      <c r="R35" s="58" t="str">
        <f t="shared" si="13"/>
        <v>18.0347593043801,122.222222222222</v>
      </c>
    </row>
    <row r="36" spans="14:18" x14ac:dyDescent="0.25">
      <c r="N36" s="17">
        <v>12</v>
      </c>
      <c r="O36" s="10">
        <v>1392.0252</v>
      </c>
      <c r="P36" s="10">
        <f t="shared" si="11"/>
        <v>133.33333333333331</v>
      </c>
      <c r="Q36" s="10">
        <f t="shared" si="12"/>
        <v>24.194655830994211</v>
      </c>
      <c r="R36" s="58" t="str">
        <f t="shared" si="13"/>
        <v>24.1946558309942,133.333333333333</v>
      </c>
    </row>
    <row r="37" spans="14:18" x14ac:dyDescent="0.25">
      <c r="N37" s="17">
        <v>13</v>
      </c>
      <c r="O37" s="10">
        <v>1787.9612000000002</v>
      </c>
      <c r="P37" s="10">
        <f t="shared" si="11"/>
        <v>144.44444444444443</v>
      </c>
      <c r="Q37" s="10">
        <f t="shared" si="12"/>
        <v>31.076381284743558</v>
      </c>
      <c r="R37" s="58" t="str">
        <f t="shared" si="13"/>
        <v>31.0763812847436,144.444444444444</v>
      </c>
    </row>
    <row r="38" spans="14:18" x14ac:dyDescent="0.25">
      <c r="N38" s="17">
        <v>13.75</v>
      </c>
      <c r="O38" s="10">
        <v>2108.7662</v>
      </c>
      <c r="P38" s="10">
        <f t="shared" si="11"/>
        <v>152.77777777777777</v>
      </c>
      <c r="Q38" s="10">
        <f t="shared" si="12"/>
        <v>36.652262068986616</v>
      </c>
      <c r="R38" s="58" t="str">
        <f t="shared" si="13"/>
        <v>36.6522620689866,152.777777777778</v>
      </c>
    </row>
    <row r="39" spans="14:18" ht="15.75" thickBot="1" x14ac:dyDescent="0.3">
      <c r="N39" s="19">
        <v>14.37</v>
      </c>
      <c r="O39" s="34">
        <v>2387.7165999999997</v>
      </c>
      <c r="P39" s="34">
        <f t="shared" si="11"/>
        <v>159.66666666666666</v>
      </c>
      <c r="Q39" s="34">
        <f t="shared" si="12"/>
        <v>41.50067208478098</v>
      </c>
      <c r="R39" s="59" t="str">
        <f t="shared" si="13"/>
        <v>41.500672084781,159.666666666667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873B-B76B-4FCB-BB1B-C71D0F39581A}">
  <dimension ref="A1:U39"/>
  <sheetViews>
    <sheetView zoomScale="85" zoomScaleNormal="85" workbookViewId="0">
      <selection activeCell="T39" sqref="T39"/>
    </sheetView>
  </sheetViews>
  <sheetFormatPr defaultColWidth="14.28515625" defaultRowHeight="15" x14ac:dyDescent="0.25"/>
  <cols>
    <col min="1" max="1" width="9.7109375" style="4" customWidth="1"/>
    <col min="2" max="2" width="11.85546875" style="4" customWidth="1"/>
    <col min="3" max="3" width="9.85546875" style="4" customWidth="1"/>
    <col min="4" max="4" width="12" style="4" customWidth="1"/>
    <col min="5" max="6" width="11.42578125" style="4" customWidth="1"/>
    <col min="7" max="7" width="11.140625" style="4" customWidth="1"/>
    <col min="8" max="8" width="12.28515625" style="4" customWidth="1"/>
    <col min="9" max="9" width="10.5703125" style="4" customWidth="1"/>
    <col min="10" max="10" width="12" style="4" customWidth="1"/>
    <col min="11" max="11" width="13.140625" style="4" customWidth="1"/>
    <col min="12" max="15" width="14.28515625" style="4"/>
    <col min="16" max="16" width="13.5703125" style="4" customWidth="1"/>
    <col min="17" max="17" width="14.28515625" style="4"/>
    <col min="18" max="18" width="40.42578125" style="4" customWidth="1"/>
    <col min="19" max="16384" width="14.28515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0.45013999999999998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2.7519</v>
      </c>
      <c r="E3" s="10">
        <f>D3+D2</f>
        <v>3.2020400000000002</v>
      </c>
      <c r="F3" s="10">
        <f>C3*E3</f>
        <v>3.2020400000000002</v>
      </c>
      <c r="G3" s="10">
        <f>G2+F3</f>
        <v>3.2020400000000002</v>
      </c>
      <c r="H3" s="10">
        <f t="shared" ref="H3:H17" si="1">B3*D3</f>
        <v>2.7519</v>
      </c>
      <c r="I3" s="10">
        <f>H3+H2</f>
        <v>2.7519</v>
      </c>
      <c r="J3" s="10">
        <f t="shared" ref="J3:J17" si="2">C3*I3</f>
        <v>2.7519</v>
      </c>
      <c r="K3" s="58">
        <f>K2+J3</f>
        <v>2.7519</v>
      </c>
      <c r="N3" s="17">
        <v>1</v>
      </c>
      <c r="O3" s="10">
        <v>3.2020400000000002</v>
      </c>
      <c r="P3" s="10">
        <f t="shared" si="0"/>
        <v>11.111111111111111</v>
      </c>
      <c r="Q3" s="10">
        <f t="shared" ref="Q3:Q17" si="3">O3*$R$21</f>
        <v>0.37931132518017657</v>
      </c>
      <c r="R3" s="58" t="str">
        <f t="shared" ref="R3:R17" si="4">CONCATENATE(Q3,",",P3)</f>
        <v>0.379311325180177,11.1111111111111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3.55</v>
      </c>
      <c r="E4" s="10">
        <f t="shared" ref="E4:E17" si="6">D4+D3</f>
        <v>6.3018999999999998</v>
      </c>
      <c r="F4" s="10">
        <f t="shared" ref="F4:F17" si="7">C4*E4</f>
        <v>6.3018999999999998</v>
      </c>
      <c r="G4" s="10">
        <f t="shared" ref="G4:G17" si="8">G3+F4</f>
        <v>9.5039400000000001</v>
      </c>
      <c r="H4" s="10">
        <f t="shared" si="1"/>
        <v>7.1</v>
      </c>
      <c r="I4" s="10">
        <f t="shared" ref="I4:I17" si="9">H4+H3</f>
        <v>9.8519000000000005</v>
      </c>
      <c r="J4" s="10">
        <f t="shared" si="2"/>
        <v>9.8519000000000005</v>
      </c>
      <c r="K4" s="58">
        <f t="shared" ref="K4:K17" si="10">K3+J4</f>
        <v>12.6038</v>
      </c>
      <c r="N4" s="17">
        <v>2</v>
      </c>
      <c r="O4" s="10">
        <v>9.5039400000000001</v>
      </c>
      <c r="P4" s="10">
        <f t="shared" si="0"/>
        <v>22.222222222222221</v>
      </c>
      <c r="Q4" s="10">
        <f t="shared" si="3"/>
        <v>1.12582980719569</v>
      </c>
      <c r="R4" s="58" t="str">
        <f t="shared" si="4"/>
        <v>1.12582980719569,22.2222222222222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4.1985999999999999</v>
      </c>
      <c r="E5" s="10">
        <f t="shared" si="6"/>
        <v>7.7485999999999997</v>
      </c>
      <c r="F5" s="10">
        <f t="shared" si="7"/>
        <v>7.7485999999999997</v>
      </c>
      <c r="G5" s="10">
        <f t="shared" si="8"/>
        <v>17.25254</v>
      </c>
      <c r="H5" s="10">
        <f t="shared" si="1"/>
        <v>12.595800000000001</v>
      </c>
      <c r="I5" s="10">
        <f t="shared" si="9"/>
        <v>19.695799999999998</v>
      </c>
      <c r="J5" s="10">
        <f t="shared" si="2"/>
        <v>19.695799999999998</v>
      </c>
      <c r="K5" s="58">
        <f t="shared" si="10"/>
        <v>32.299599999999998</v>
      </c>
      <c r="N5" s="17">
        <v>3</v>
      </c>
      <c r="O5" s="10">
        <v>17.25254</v>
      </c>
      <c r="P5" s="10">
        <f t="shared" si="0"/>
        <v>33.333333333333329</v>
      </c>
      <c r="Q5" s="10">
        <f t="shared" si="3"/>
        <v>2.0437233170491322</v>
      </c>
      <c r="R5" s="58" t="str">
        <f t="shared" si="4"/>
        <v>2.04372331704913,33.3333333333333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4.9146000000000001</v>
      </c>
      <c r="E6" s="10">
        <f t="shared" si="6"/>
        <v>9.1131999999999991</v>
      </c>
      <c r="F6" s="10">
        <f t="shared" si="7"/>
        <v>9.1131999999999991</v>
      </c>
      <c r="G6" s="10">
        <f t="shared" si="8"/>
        <v>26.365739999999999</v>
      </c>
      <c r="H6" s="10">
        <f t="shared" si="1"/>
        <v>19.6584</v>
      </c>
      <c r="I6" s="10">
        <f t="shared" si="9"/>
        <v>32.254199999999997</v>
      </c>
      <c r="J6" s="10">
        <f t="shared" si="2"/>
        <v>32.254199999999997</v>
      </c>
      <c r="K6" s="58">
        <f t="shared" si="10"/>
        <v>64.553799999999995</v>
      </c>
      <c r="N6" s="17">
        <v>4</v>
      </c>
      <c r="O6" s="10">
        <v>26.365739999999999</v>
      </c>
      <c r="P6" s="10">
        <f t="shared" si="0"/>
        <v>44.444444444444443</v>
      </c>
      <c r="Q6" s="10">
        <f t="shared" si="3"/>
        <v>3.1232663485640364</v>
      </c>
      <c r="R6" s="58" t="str">
        <f t="shared" si="4"/>
        <v>3.12326634856404,44.4444444444444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5.9584999999999999</v>
      </c>
      <c r="E7" s="10">
        <f t="shared" si="6"/>
        <v>10.873100000000001</v>
      </c>
      <c r="F7" s="10">
        <f t="shared" si="7"/>
        <v>10.873100000000001</v>
      </c>
      <c r="G7" s="10">
        <f t="shared" si="8"/>
        <v>37.238839999999996</v>
      </c>
      <c r="H7" s="10">
        <f t="shared" si="1"/>
        <v>29.7925</v>
      </c>
      <c r="I7" s="10">
        <f t="shared" si="9"/>
        <v>49.450900000000004</v>
      </c>
      <c r="J7" s="10">
        <f t="shared" si="2"/>
        <v>49.450900000000004</v>
      </c>
      <c r="K7" s="58">
        <f t="shared" si="10"/>
        <v>114.0047</v>
      </c>
      <c r="N7" s="17">
        <v>5</v>
      </c>
      <c r="O7" s="10">
        <v>37.238839999999996</v>
      </c>
      <c r="P7" s="10">
        <f t="shared" si="0"/>
        <v>55.555555555555557</v>
      </c>
      <c r="Q7" s="10">
        <f t="shared" si="3"/>
        <v>4.4112858516984685</v>
      </c>
      <c r="R7" s="58" t="str">
        <f t="shared" si="4"/>
        <v>4.41128585169847,55.5555555555556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7.7301000000000002</v>
      </c>
      <c r="E8" s="10">
        <f t="shared" si="6"/>
        <v>13.688600000000001</v>
      </c>
      <c r="F8" s="10">
        <f t="shared" si="7"/>
        <v>13.688600000000001</v>
      </c>
      <c r="G8" s="10">
        <f t="shared" si="8"/>
        <v>50.927439999999997</v>
      </c>
      <c r="H8" s="10">
        <f t="shared" si="1"/>
        <v>46.380600000000001</v>
      </c>
      <c r="I8" s="10">
        <f t="shared" si="9"/>
        <v>76.173100000000005</v>
      </c>
      <c r="J8" s="10">
        <f t="shared" si="2"/>
        <v>76.173100000000005</v>
      </c>
      <c r="K8" s="58">
        <f t="shared" si="10"/>
        <v>190.17779999999999</v>
      </c>
      <c r="N8" s="17">
        <v>6</v>
      </c>
      <c r="O8" s="10">
        <v>50.927439999999997</v>
      </c>
      <c r="P8" s="10">
        <f t="shared" si="0"/>
        <v>66.666666666666657</v>
      </c>
      <c r="Q8" s="10">
        <f t="shared" si="3"/>
        <v>6.0328274332718923</v>
      </c>
      <c r="R8" s="58" t="str">
        <f t="shared" si="4"/>
        <v>6.03282743327189,66.6666666666667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10.481999999999999</v>
      </c>
      <c r="E9" s="10">
        <f t="shared" si="6"/>
        <v>18.2121</v>
      </c>
      <c r="F9" s="10">
        <f t="shared" si="7"/>
        <v>18.2121</v>
      </c>
      <c r="G9" s="10">
        <f t="shared" si="8"/>
        <v>69.139539999999997</v>
      </c>
      <c r="H9" s="10">
        <f t="shared" si="1"/>
        <v>73.373999999999995</v>
      </c>
      <c r="I9" s="10">
        <f t="shared" si="9"/>
        <v>119.7546</v>
      </c>
      <c r="J9" s="10">
        <f t="shared" si="2"/>
        <v>119.7546</v>
      </c>
      <c r="K9" s="58">
        <f t="shared" si="10"/>
        <v>309.93239999999997</v>
      </c>
      <c r="N9" s="17">
        <v>7</v>
      </c>
      <c r="O9" s="10">
        <v>69.139539999999997</v>
      </c>
      <c r="P9" s="10">
        <f t="shared" si="0"/>
        <v>77.777777777777771</v>
      </c>
      <c r="Q9" s="10">
        <f t="shared" si="3"/>
        <v>8.1902195287216344</v>
      </c>
      <c r="R9" s="58" t="str">
        <f t="shared" si="4"/>
        <v>8.19021952872163,77.7777777777778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12.874000000000001</v>
      </c>
      <c r="E10" s="10">
        <f t="shared" si="6"/>
        <v>23.356000000000002</v>
      </c>
      <c r="F10" s="10">
        <f t="shared" si="7"/>
        <v>23.356000000000002</v>
      </c>
      <c r="G10" s="10">
        <f t="shared" si="8"/>
        <v>92.495540000000005</v>
      </c>
      <c r="H10" s="10">
        <f t="shared" si="1"/>
        <v>102.992</v>
      </c>
      <c r="I10" s="10">
        <f t="shared" si="9"/>
        <v>176.36599999999999</v>
      </c>
      <c r="J10" s="10">
        <f t="shared" si="2"/>
        <v>176.36599999999999</v>
      </c>
      <c r="K10" s="58">
        <f t="shared" si="10"/>
        <v>486.29839999999996</v>
      </c>
      <c r="N10" s="17">
        <v>8</v>
      </c>
      <c r="O10" s="10">
        <v>92.495540000000005</v>
      </c>
      <c r="P10" s="10">
        <f t="shared" si="0"/>
        <v>88.888888888888886</v>
      </c>
      <c r="Q10" s="10">
        <f t="shared" si="3"/>
        <v>10.956954269982894</v>
      </c>
      <c r="R10" s="58" t="str">
        <f t="shared" si="4"/>
        <v>10.9569542699829,88.8888888888889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14.379</v>
      </c>
      <c r="E11" s="10">
        <f t="shared" si="6"/>
        <v>27.253</v>
      </c>
      <c r="F11" s="10">
        <f t="shared" si="7"/>
        <v>27.253</v>
      </c>
      <c r="G11" s="10">
        <f t="shared" si="8"/>
        <v>119.74854000000001</v>
      </c>
      <c r="H11" s="10">
        <f t="shared" si="1"/>
        <v>129.411</v>
      </c>
      <c r="I11" s="10">
        <f t="shared" si="9"/>
        <v>232.40300000000002</v>
      </c>
      <c r="J11" s="10">
        <f t="shared" si="2"/>
        <v>232.40300000000002</v>
      </c>
      <c r="K11" s="58">
        <f t="shared" si="10"/>
        <v>718.70139999999992</v>
      </c>
      <c r="N11" s="17">
        <v>9</v>
      </c>
      <c r="O11" s="10">
        <v>119.74854000000001</v>
      </c>
      <c r="P11" s="10">
        <f t="shared" si="0"/>
        <v>100</v>
      </c>
      <c r="Q11" s="10">
        <f t="shared" si="3"/>
        <v>14.185324791630142</v>
      </c>
      <c r="R11" s="58" t="str">
        <f t="shared" si="4"/>
        <v>14.1853247916301,100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15.27</v>
      </c>
      <c r="E12" s="10">
        <f t="shared" si="6"/>
        <v>29.649000000000001</v>
      </c>
      <c r="F12" s="10">
        <f t="shared" si="7"/>
        <v>29.649000000000001</v>
      </c>
      <c r="G12" s="10">
        <f t="shared" si="8"/>
        <v>149.39753999999999</v>
      </c>
      <c r="H12" s="10">
        <f t="shared" si="1"/>
        <v>152.69999999999999</v>
      </c>
      <c r="I12" s="10">
        <f t="shared" si="9"/>
        <v>282.11099999999999</v>
      </c>
      <c r="J12" s="10">
        <f t="shared" si="2"/>
        <v>282.11099999999999</v>
      </c>
      <c r="K12" s="58">
        <f t="shared" si="10"/>
        <v>1000.8123999999999</v>
      </c>
      <c r="N12" s="17">
        <v>10</v>
      </c>
      <c r="O12" s="10">
        <v>149.39753999999999</v>
      </c>
      <c r="P12" s="10">
        <f t="shared" si="0"/>
        <v>111.11111111111111</v>
      </c>
      <c r="Q12" s="10">
        <f t="shared" si="3"/>
        <v>17.697523727392046</v>
      </c>
      <c r="R12" s="58" t="str">
        <f t="shared" si="4"/>
        <v>17.697523727392,111.111111111111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15.755000000000001</v>
      </c>
      <c r="E13" s="10">
        <f t="shared" si="6"/>
        <v>31.024999999999999</v>
      </c>
      <c r="F13" s="10">
        <f t="shared" si="7"/>
        <v>31.024999999999999</v>
      </c>
      <c r="G13" s="10">
        <f t="shared" si="8"/>
        <v>180.42254</v>
      </c>
      <c r="H13" s="10">
        <f t="shared" si="1"/>
        <v>173.30500000000001</v>
      </c>
      <c r="I13" s="10">
        <f t="shared" si="9"/>
        <v>326.005</v>
      </c>
      <c r="J13" s="10">
        <f t="shared" si="2"/>
        <v>326.005</v>
      </c>
      <c r="K13" s="58">
        <f t="shared" si="10"/>
        <v>1326.8173999999999</v>
      </c>
      <c r="N13" s="17">
        <v>11</v>
      </c>
      <c r="O13" s="10">
        <v>180.42254</v>
      </c>
      <c r="P13" s="10">
        <f t="shared" si="0"/>
        <v>122.22222222222221</v>
      </c>
      <c r="Q13" s="10">
        <f t="shared" si="3"/>
        <v>21.372722620508615</v>
      </c>
      <c r="R13" s="58" t="str">
        <f t="shared" si="4"/>
        <v>21.3727226205086,122.222222222222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15.98</v>
      </c>
      <c r="E14" s="10">
        <f t="shared" si="6"/>
        <v>31.734999999999999</v>
      </c>
      <c r="F14" s="10">
        <f t="shared" si="7"/>
        <v>31.734999999999999</v>
      </c>
      <c r="G14" s="10">
        <f t="shared" si="8"/>
        <v>212.15753999999998</v>
      </c>
      <c r="H14" s="10">
        <f t="shared" si="1"/>
        <v>191.76</v>
      </c>
      <c r="I14" s="10">
        <f t="shared" si="9"/>
        <v>365.065</v>
      </c>
      <c r="J14" s="10">
        <f t="shared" si="2"/>
        <v>365.065</v>
      </c>
      <c r="K14" s="58">
        <f t="shared" si="10"/>
        <v>1691.8824</v>
      </c>
      <c r="N14" s="17">
        <v>12</v>
      </c>
      <c r="O14" s="10">
        <v>212.15753999999998</v>
      </c>
      <c r="P14" s="10">
        <f t="shared" si="0"/>
        <v>133.33333333333331</v>
      </c>
      <c r="Q14" s="10">
        <f t="shared" si="3"/>
        <v>25.132027596271847</v>
      </c>
      <c r="R14" s="58" t="str">
        <f t="shared" si="4"/>
        <v>25.1320275962718,133.333333333333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31.98</v>
      </c>
      <c r="F15" s="10">
        <f t="shared" si="7"/>
        <v>31.98</v>
      </c>
      <c r="G15" s="10">
        <f t="shared" si="8"/>
        <v>244.13753999999997</v>
      </c>
      <c r="H15" s="10">
        <f t="shared" si="1"/>
        <v>208</v>
      </c>
      <c r="I15" s="10">
        <f t="shared" si="9"/>
        <v>399.76</v>
      </c>
      <c r="J15" s="10">
        <f t="shared" si="2"/>
        <v>399.76</v>
      </c>
      <c r="K15" s="58">
        <f t="shared" si="10"/>
        <v>2091.6423999999997</v>
      </c>
      <c r="N15" s="17">
        <v>13</v>
      </c>
      <c r="O15" s="10">
        <v>244.13753999999997</v>
      </c>
      <c r="P15" s="10">
        <f t="shared" si="0"/>
        <v>144.44444444444443</v>
      </c>
      <c r="Q15" s="10">
        <f t="shared" si="3"/>
        <v>28.920355093511745</v>
      </c>
      <c r="R15" s="58" t="str">
        <f t="shared" si="4"/>
        <v>28.9203550935117,144.444444444444</v>
      </c>
    </row>
    <row r="16" spans="1:18" x14ac:dyDescent="0.25">
      <c r="A16" s="17" t="s">
        <v>154</v>
      </c>
      <c r="B16" s="10">
        <v>13.75</v>
      </c>
      <c r="C16" s="10">
        <f t="shared" si="5"/>
        <v>0.75</v>
      </c>
      <c r="D16" s="10">
        <v>16</v>
      </c>
      <c r="E16" s="10">
        <f t="shared" si="6"/>
        <v>32</v>
      </c>
      <c r="F16" s="10">
        <f t="shared" si="7"/>
        <v>24</v>
      </c>
      <c r="G16" s="10">
        <f t="shared" si="8"/>
        <v>268.13753999999994</v>
      </c>
      <c r="H16" s="10">
        <f t="shared" si="1"/>
        <v>220</v>
      </c>
      <c r="I16" s="10">
        <f t="shared" si="9"/>
        <v>428</v>
      </c>
      <c r="J16" s="10">
        <f t="shared" si="2"/>
        <v>321</v>
      </c>
      <c r="K16" s="58">
        <f t="shared" si="10"/>
        <v>2412.6423999999997</v>
      </c>
      <c r="N16" s="17">
        <v>13.75</v>
      </c>
      <c r="O16" s="10">
        <v>268.13753999999994</v>
      </c>
      <c r="P16" s="10">
        <f t="shared" si="0"/>
        <v>152.77777777777777</v>
      </c>
      <c r="Q16" s="10">
        <f t="shared" si="3"/>
        <v>31.763377605511668</v>
      </c>
      <c r="R16" s="58" t="str">
        <f t="shared" si="4"/>
        <v>31.7633776055117,152.777777777778</v>
      </c>
    </row>
    <row r="17" spans="1:21" ht="15.75" thickBot="1" x14ac:dyDescent="0.3">
      <c r="A17" s="19" t="s">
        <v>5</v>
      </c>
      <c r="B17" s="34">
        <v>14.37</v>
      </c>
      <c r="C17" s="34">
        <f t="shared" si="5"/>
        <v>0.61999999999999922</v>
      </c>
      <c r="D17" s="34">
        <v>16</v>
      </c>
      <c r="E17" s="34">
        <f t="shared" si="6"/>
        <v>32</v>
      </c>
      <c r="F17" s="34">
        <f t="shared" si="7"/>
        <v>19.839999999999975</v>
      </c>
      <c r="G17" s="34">
        <f t="shared" si="8"/>
        <v>287.97753999999992</v>
      </c>
      <c r="H17" s="34">
        <f t="shared" si="1"/>
        <v>229.92</v>
      </c>
      <c r="I17" s="34">
        <f t="shared" si="9"/>
        <v>449.91999999999996</v>
      </c>
      <c r="J17" s="34">
        <f t="shared" si="2"/>
        <v>278.9503999999996</v>
      </c>
      <c r="K17" s="59">
        <f t="shared" si="10"/>
        <v>2691.5927999999994</v>
      </c>
      <c r="N17" s="19">
        <v>14.37</v>
      </c>
      <c r="O17" s="34">
        <v>287.97753999999992</v>
      </c>
      <c r="P17" s="34">
        <f t="shared" si="0"/>
        <v>159.66666666666666</v>
      </c>
      <c r="Q17" s="34">
        <f t="shared" si="3"/>
        <v>34.113609548764934</v>
      </c>
      <c r="R17" s="59" t="str">
        <f t="shared" si="4"/>
        <v>34.1136095487649,159.666666666667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2.7519</v>
      </c>
      <c r="P25" s="10">
        <f t="shared" ref="P25:P39" si="11">N25*$O$21</f>
        <v>11.111111111111111</v>
      </c>
      <c r="Q25" s="10">
        <f t="shared" ref="Q25:Q39" si="12">O25*$U$21</f>
        <v>4.7830508658401417E-2</v>
      </c>
      <c r="R25" s="58" t="str">
        <f t="shared" ref="R25:R39" si="13">CONCATENATE(Q25,",",P25)</f>
        <v>0.0478305086584014,11.1111111111111</v>
      </c>
    </row>
    <row r="26" spans="1:21" x14ac:dyDescent="0.25">
      <c r="N26" s="17">
        <v>2</v>
      </c>
      <c r="O26" s="10">
        <v>12.6038</v>
      </c>
      <c r="P26" s="10">
        <f t="shared" si="11"/>
        <v>22.222222222222221</v>
      </c>
      <c r="Q26" s="10">
        <f t="shared" si="12"/>
        <v>0.21906543298403278</v>
      </c>
      <c r="R26" s="58" t="str">
        <f t="shared" si="13"/>
        <v>0.219065432984033,22.2222222222222</v>
      </c>
    </row>
    <row r="27" spans="1:21" x14ac:dyDescent="0.25">
      <c r="N27" s="17">
        <v>3</v>
      </c>
      <c r="O27" s="10">
        <v>32.299599999999998</v>
      </c>
      <c r="P27" s="10">
        <f t="shared" si="11"/>
        <v>33.333333333333329</v>
      </c>
      <c r="Q27" s="10">
        <f t="shared" si="12"/>
        <v>0.56139623440637465</v>
      </c>
      <c r="R27" s="58" t="str">
        <f t="shared" si="13"/>
        <v>0.561396234406375,33.3333333333333</v>
      </c>
    </row>
    <row r="28" spans="1:21" x14ac:dyDescent="0.25">
      <c r="N28" s="17">
        <v>4</v>
      </c>
      <c r="O28" s="10">
        <v>64.553799999999995</v>
      </c>
      <c r="P28" s="10">
        <f t="shared" si="11"/>
        <v>44.444444444444443</v>
      </c>
      <c r="Q28" s="10">
        <f t="shared" si="12"/>
        <v>1.1220033757886236</v>
      </c>
      <c r="R28" s="58" t="str">
        <f t="shared" si="13"/>
        <v>1.12200337578862,44.4444444444444</v>
      </c>
    </row>
    <row r="29" spans="1:21" x14ac:dyDescent="0.25">
      <c r="N29" s="17">
        <v>5</v>
      </c>
      <c r="O29" s="10">
        <v>114.0047</v>
      </c>
      <c r="P29" s="10">
        <f t="shared" si="11"/>
        <v>55.555555555555557</v>
      </c>
      <c r="Q29" s="10">
        <f t="shared" si="12"/>
        <v>1.9815047023687111</v>
      </c>
      <c r="R29" s="58" t="str">
        <f t="shared" si="13"/>
        <v>1.98150470236871,55.5555555555556</v>
      </c>
    </row>
    <row r="30" spans="1:21" x14ac:dyDescent="0.25">
      <c r="N30" s="17">
        <v>6</v>
      </c>
      <c r="O30" s="10">
        <v>190.17779999999999</v>
      </c>
      <c r="P30" s="10">
        <f t="shared" si="11"/>
        <v>66.666666666666657</v>
      </c>
      <c r="Q30" s="10">
        <f t="shared" si="12"/>
        <v>3.3054620115322986</v>
      </c>
      <c r="R30" s="58" t="str">
        <f t="shared" si="13"/>
        <v>3.3054620115323,66.6666666666667</v>
      </c>
    </row>
    <row r="31" spans="1:21" x14ac:dyDescent="0.25">
      <c r="N31" s="17">
        <v>7</v>
      </c>
      <c r="O31" s="10">
        <v>309.93239999999997</v>
      </c>
      <c r="P31" s="10">
        <f t="shared" si="11"/>
        <v>77.777777777777771</v>
      </c>
      <c r="Q31" s="10">
        <f t="shared" si="12"/>
        <v>5.3869051715974896</v>
      </c>
      <c r="R31" s="58" t="str">
        <f t="shared" si="13"/>
        <v>5.38690517159749,77.7777777777778</v>
      </c>
    </row>
    <row r="32" spans="1:21" x14ac:dyDescent="0.25">
      <c r="N32" s="17">
        <v>8</v>
      </c>
      <c r="O32" s="10">
        <v>486.29839999999996</v>
      </c>
      <c r="P32" s="10">
        <f t="shared" si="11"/>
        <v>88.888888888888886</v>
      </c>
      <c r="Q32" s="10">
        <f t="shared" si="12"/>
        <v>8.4523056185787109</v>
      </c>
      <c r="R32" s="58" t="str">
        <f t="shared" si="13"/>
        <v>8.45230561857871,88.8888888888889</v>
      </c>
    </row>
    <row r="33" spans="14:18" x14ac:dyDescent="0.25">
      <c r="N33" s="17">
        <v>9</v>
      </c>
      <c r="O33" s="10">
        <v>718.70139999999992</v>
      </c>
      <c r="P33" s="10">
        <f t="shared" si="11"/>
        <v>100</v>
      </c>
      <c r="Q33" s="10">
        <f t="shared" si="12"/>
        <v>12.491679761439448</v>
      </c>
      <c r="R33" s="58" t="str">
        <f t="shared" si="13"/>
        <v>12.4916797614394,100</v>
      </c>
    </row>
    <row r="34" spans="14:18" x14ac:dyDescent="0.25">
      <c r="N34" s="17">
        <v>10</v>
      </c>
      <c r="O34" s="10">
        <v>1000.8123999999999</v>
      </c>
      <c r="P34" s="10">
        <f t="shared" si="11"/>
        <v>111.11111111111111</v>
      </c>
      <c r="Q34" s="10">
        <f t="shared" si="12"/>
        <v>17.395023861199718</v>
      </c>
      <c r="R34" s="58" t="str">
        <f t="shared" si="13"/>
        <v>17.3950238611997,111.111111111111</v>
      </c>
    </row>
    <row r="35" spans="14:18" x14ac:dyDescent="0.25">
      <c r="N35" s="17">
        <v>11</v>
      </c>
      <c r="O35" s="10">
        <v>1326.8173999999999</v>
      </c>
      <c r="P35" s="10">
        <f t="shared" si="11"/>
        <v>122.22222222222221</v>
      </c>
      <c r="Q35" s="10">
        <f t="shared" si="12"/>
        <v>23.061285344241309</v>
      </c>
      <c r="R35" s="58" t="str">
        <f t="shared" si="13"/>
        <v>23.0612853442413,122.222222222222</v>
      </c>
    </row>
    <row r="36" spans="14:18" x14ac:dyDescent="0.25">
      <c r="N36" s="17">
        <v>12</v>
      </c>
      <c r="O36" s="10">
        <v>1691.8824</v>
      </c>
      <c r="P36" s="10">
        <f t="shared" si="11"/>
        <v>133.33333333333331</v>
      </c>
      <c r="Q36" s="10">
        <f t="shared" si="12"/>
        <v>29.406444922488816</v>
      </c>
      <c r="R36" s="58" t="str">
        <f t="shared" si="13"/>
        <v>29.4064449224888,133.333333333333</v>
      </c>
    </row>
    <row r="37" spans="14:18" x14ac:dyDescent="0.25">
      <c r="N37" s="17">
        <v>13</v>
      </c>
      <c r="O37" s="10">
        <v>2091.6423999999997</v>
      </c>
      <c r="P37" s="10">
        <f t="shared" si="11"/>
        <v>144.44444444444443</v>
      </c>
      <c r="Q37" s="10">
        <f t="shared" si="12"/>
        <v>36.354634951662312</v>
      </c>
      <c r="R37" s="58" t="str">
        <f t="shared" si="13"/>
        <v>36.3546349516623,144.444444444444</v>
      </c>
    </row>
    <row r="38" spans="14:18" x14ac:dyDescent="0.25">
      <c r="N38" s="17">
        <v>13.75</v>
      </c>
      <c r="O38" s="10">
        <v>2412.6423999999997</v>
      </c>
      <c r="P38" s="10">
        <f t="shared" si="11"/>
        <v>152.77777777777777</v>
      </c>
      <c r="Q38" s="10">
        <f t="shared" si="12"/>
        <v>41.933905012110309</v>
      </c>
      <c r="R38" s="58" t="str">
        <f t="shared" si="13"/>
        <v>41.9339050121103,152.777777777778</v>
      </c>
    </row>
    <row r="39" spans="14:18" ht="15.75" thickBot="1" x14ac:dyDescent="0.3">
      <c r="N39" s="19">
        <v>14.37</v>
      </c>
      <c r="O39" s="34">
        <v>2691.5927999999994</v>
      </c>
      <c r="P39" s="34">
        <f t="shared" si="11"/>
        <v>159.66666666666666</v>
      </c>
      <c r="Q39" s="34">
        <f t="shared" si="12"/>
        <v>46.78231502790468</v>
      </c>
      <c r="R39" s="59" t="str">
        <f t="shared" si="13"/>
        <v>46.7823150279047,159.666666666667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0246-A9FE-412D-BC95-2E70C20FC347}">
  <dimension ref="A1:U39"/>
  <sheetViews>
    <sheetView zoomScale="85" zoomScaleNormal="85" workbookViewId="0">
      <selection activeCell="T40" sqref="T40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4.140625" style="4" customWidth="1"/>
    <col min="16" max="16" width="13.140625" style="4" customWidth="1"/>
    <col min="17" max="17" width="14.7109375" style="4" customWidth="1"/>
    <col min="18" max="18" width="35.57031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9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62" t="s">
        <v>4</v>
      </c>
      <c r="O1" s="5" t="s">
        <v>149</v>
      </c>
      <c r="P1" s="5" t="s">
        <v>155</v>
      </c>
      <c r="Q1" s="5" t="s">
        <v>156</v>
      </c>
      <c r="R1" s="5" t="s">
        <v>157</v>
      </c>
      <c r="S1" s="61"/>
    </row>
    <row r="2" spans="1:19" x14ac:dyDescent="0.25">
      <c r="A2" s="42">
        <v>0</v>
      </c>
      <c r="B2" s="51">
        <v>0</v>
      </c>
      <c r="C2" s="51" t="s">
        <v>9</v>
      </c>
      <c r="D2" s="13">
        <v>0.40876000000000001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9" x14ac:dyDescent="0.25">
      <c r="A3" s="17">
        <v>1</v>
      </c>
      <c r="B3" s="10">
        <v>1</v>
      </c>
      <c r="C3" s="10">
        <f>B3-B2</f>
        <v>1</v>
      </c>
      <c r="D3" s="11">
        <v>4.0815000000000001</v>
      </c>
      <c r="E3" s="10">
        <f>D3+D2</f>
        <v>4.4902600000000001</v>
      </c>
      <c r="F3" s="10">
        <f>C3*E3</f>
        <v>4.4902600000000001</v>
      </c>
      <c r="G3" s="10">
        <f>G2+F3</f>
        <v>4.4902600000000001</v>
      </c>
      <c r="H3" s="10">
        <f t="shared" ref="H3:H17" si="1">B3*D3</f>
        <v>4.0815000000000001</v>
      </c>
      <c r="I3" s="10">
        <f>H3+H2</f>
        <v>4.0815000000000001</v>
      </c>
      <c r="J3" s="10">
        <f t="shared" ref="J3:J17" si="2">C3*I3</f>
        <v>4.0815000000000001</v>
      </c>
      <c r="K3" s="58">
        <f>K2+J3</f>
        <v>4.0815000000000001</v>
      </c>
      <c r="N3" s="17">
        <v>1</v>
      </c>
      <c r="O3" s="10">
        <v>4.4902600000000001</v>
      </c>
      <c r="P3" s="10">
        <f t="shared" si="0"/>
        <v>11.111111111111111</v>
      </c>
      <c r="Q3" s="10">
        <f t="shared" ref="Q3:Q17" si="3">O3*$R$21</f>
        <v>0.53191292769719911</v>
      </c>
      <c r="R3" s="58" t="str">
        <f t="shared" ref="R3:R17" si="4">CONCATENATE(Q3,",",P3)</f>
        <v>0.531912927697199,11.1111111111111</v>
      </c>
    </row>
    <row r="4" spans="1:19" x14ac:dyDescent="0.25">
      <c r="A4" s="17">
        <v>2</v>
      </c>
      <c r="B4" s="10">
        <v>2</v>
      </c>
      <c r="C4" s="10">
        <f t="shared" ref="C4:C17" si="5">B4-B3</f>
        <v>1</v>
      </c>
      <c r="D4" s="11">
        <v>5.4427000000000003</v>
      </c>
      <c r="E4" s="10">
        <f t="shared" ref="E4:E17" si="6">D4+D3</f>
        <v>9.5242000000000004</v>
      </c>
      <c r="F4" s="10">
        <f t="shared" ref="F4:F17" si="7">C4*E4</f>
        <v>9.5242000000000004</v>
      </c>
      <c r="G4" s="10">
        <f t="shared" ref="G4:G17" si="8">G3+F4</f>
        <v>14.01446</v>
      </c>
      <c r="H4" s="10">
        <f t="shared" si="1"/>
        <v>10.885400000000001</v>
      </c>
      <c r="I4" s="10">
        <f t="shared" ref="I4:I17" si="9">H4+H3</f>
        <v>14.966900000000001</v>
      </c>
      <c r="J4" s="10">
        <f t="shared" si="2"/>
        <v>14.966900000000001</v>
      </c>
      <c r="K4" s="58">
        <f t="shared" ref="K4:K17" si="10">K3+J4</f>
        <v>19.048400000000001</v>
      </c>
      <c r="N4" s="17">
        <v>2</v>
      </c>
      <c r="O4" s="10">
        <v>14.01446</v>
      </c>
      <c r="P4" s="10">
        <f t="shared" si="0"/>
        <v>22.222222222222221</v>
      </c>
      <c r="Q4" s="10">
        <f t="shared" si="3"/>
        <v>1.6601427197301024</v>
      </c>
      <c r="R4" s="58" t="str">
        <f t="shared" si="4"/>
        <v>1.6601427197301,22.2222222222222</v>
      </c>
    </row>
    <row r="5" spans="1:19" x14ac:dyDescent="0.25">
      <c r="A5" s="17">
        <v>3</v>
      </c>
      <c r="B5" s="10">
        <v>3</v>
      </c>
      <c r="C5" s="10">
        <f t="shared" si="5"/>
        <v>1</v>
      </c>
      <c r="D5" s="11">
        <v>6.6439000000000004</v>
      </c>
      <c r="E5" s="10">
        <f t="shared" si="6"/>
        <v>12.086600000000001</v>
      </c>
      <c r="F5" s="10">
        <f t="shared" si="7"/>
        <v>12.086600000000001</v>
      </c>
      <c r="G5" s="10">
        <f t="shared" si="8"/>
        <v>26.10106</v>
      </c>
      <c r="H5" s="10">
        <f t="shared" si="1"/>
        <v>19.931699999999999</v>
      </c>
      <c r="I5" s="10">
        <f t="shared" si="9"/>
        <v>30.8171</v>
      </c>
      <c r="J5" s="10">
        <f t="shared" si="2"/>
        <v>30.8171</v>
      </c>
      <c r="K5" s="58">
        <f t="shared" si="10"/>
        <v>49.865499999999997</v>
      </c>
      <c r="N5" s="17">
        <v>3</v>
      </c>
      <c r="O5" s="10">
        <v>26.10106</v>
      </c>
      <c r="P5" s="10">
        <f t="shared" si="0"/>
        <v>33.333333333333329</v>
      </c>
      <c r="Q5" s="10">
        <f t="shared" si="3"/>
        <v>3.0919125486275307</v>
      </c>
      <c r="R5" s="58" t="str">
        <f t="shared" si="4"/>
        <v>3.09191254862753,33.3333333333333</v>
      </c>
    </row>
    <row r="6" spans="1:19" x14ac:dyDescent="0.25">
      <c r="A6" s="17">
        <v>4</v>
      </c>
      <c r="B6" s="10">
        <v>4</v>
      </c>
      <c r="C6" s="10">
        <f t="shared" si="5"/>
        <v>1</v>
      </c>
      <c r="D6" s="11">
        <v>8.0091000000000001</v>
      </c>
      <c r="E6" s="10">
        <f t="shared" si="6"/>
        <v>14.653</v>
      </c>
      <c r="F6" s="10">
        <f t="shared" si="7"/>
        <v>14.653</v>
      </c>
      <c r="G6" s="10">
        <f t="shared" si="8"/>
        <v>40.754060000000003</v>
      </c>
      <c r="H6" s="10">
        <f t="shared" si="1"/>
        <v>32.0364</v>
      </c>
      <c r="I6" s="10">
        <f t="shared" si="9"/>
        <v>51.9681</v>
      </c>
      <c r="J6" s="10">
        <f t="shared" si="2"/>
        <v>51.9681</v>
      </c>
      <c r="K6" s="58">
        <f t="shared" si="10"/>
        <v>101.83359999999999</v>
      </c>
      <c r="N6" s="17">
        <v>4</v>
      </c>
      <c r="O6" s="10">
        <v>40.754060000000003</v>
      </c>
      <c r="P6" s="10">
        <f t="shared" si="0"/>
        <v>44.444444444444443</v>
      </c>
      <c r="Q6" s="10">
        <f t="shared" si="3"/>
        <v>4.8276962514748183</v>
      </c>
      <c r="R6" s="58" t="str">
        <f t="shared" si="4"/>
        <v>4.82769625147482,44.4444444444444</v>
      </c>
    </row>
    <row r="7" spans="1:19" x14ac:dyDescent="0.25">
      <c r="A7" s="17">
        <v>5</v>
      </c>
      <c r="B7" s="10">
        <v>5</v>
      </c>
      <c r="C7" s="10">
        <f t="shared" si="5"/>
        <v>1</v>
      </c>
      <c r="D7" s="11">
        <v>9.6989999999999998</v>
      </c>
      <c r="E7" s="10">
        <f t="shared" si="6"/>
        <v>17.708100000000002</v>
      </c>
      <c r="F7" s="10">
        <f t="shared" si="7"/>
        <v>17.708100000000002</v>
      </c>
      <c r="G7" s="10">
        <f t="shared" si="8"/>
        <v>58.462160000000004</v>
      </c>
      <c r="H7" s="10">
        <f t="shared" si="1"/>
        <v>48.494999999999997</v>
      </c>
      <c r="I7" s="10">
        <f t="shared" si="9"/>
        <v>80.531399999999991</v>
      </c>
      <c r="J7" s="10">
        <f t="shared" si="2"/>
        <v>80.531399999999991</v>
      </c>
      <c r="K7" s="58">
        <f t="shared" si="10"/>
        <v>182.36499999999998</v>
      </c>
      <c r="N7" s="17">
        <v>5</v>
      </c>
      <c r="O7" s="10">
        <v>58.462160000000004</v>
      </c>
      <c r="P7" s="10">
        <f t="shared" si="0"/>
        <v>55.555555555555557</v>
      </c>
      <c r="Q7" s="10">
        <f t="shared" si="3"/>
        <v>6.9253848741725621</v>
      </c>
      <c r="R7" s="58" t="str">
        <f t="shared" si="4"/>
        <v>6.92538487417256,55.5555555555556</v>
      </c>
    </row>
    <row r="8" spans="1:19" x14ac:dyDescent="0.25">
      <c r="A8" s="17">
        <v>6</v>
      </c>
      <c r="B8" s="10">
        <v>6</v>
      </c>
      <c r="C8" s="10">
        <f t="shared" si="5"/>
        <v>1</v>
      </c>
      <c r="D8" s="11">
        <v>11.641999999999999</v>
      </c>
      <c r="E8" s="10">
        <f t="shared" si="6"/>
        <v>21.341000000000001</v>
      </c>
      <c r="F8" s="10">
        <f t="shared" si="7"/>
        <v>21.341000000000001</v>
      </c>
      <c r="G8" s="10">
        <f t="shared" si="8"/>
        <v>79.803160000000005</v>
      </c>
      <c r="H8" s="10">
        <f t="shared" si="1"/>
        <v>69.852000000000004</v>
      </c>
      <c r="I8" s="10">
        <f t="shared" si="9"/>
        <v>118.34700000000001</v>
      </c>
      <c r="J8" s="10">
        <f t="shared" si="2"/>
        <v>118.34700000000001</v>
      </c>
      <c r="K8" s="58">
        <f t="shared" si="10"/>
        <v>300.71199999999999</v>
      </c>
      <c r="N8" s="17">
        <v>6</v>
      </c>
      <c r="O8" s="10">
        <v>79.803160000000005</v>
      </c>
      <c r="P8" s="10">
        <f t="shared" si="0"/>
        <v>66.666666666666657</v>
      </c>
      <c r="Q8" s="10">
        <f t="shared" si="3"/>
        <v>9.4534241836971624</v>
      </c>
      <c r="R8" s="58" t="str">
        <f t="shared" si="4"/>
        <v>9.45342418369716,66.6666666666667</v>
      </c>
    </row>
    <row r="9" spans="1:19" x14ac:dyDescent="0.25">
      <c r="A9" s="17">
        <v>7</v>
      </c>
      <c r="B9" s="10">
        <v>7</v>
      </c>
      <c r="C9" s="10">
        <f t="shared" si="5"/>
        <v>1</v>
      </c>
      <c r="D9" s="11">
        <v>13.438000000000001</v>
      </c>
      <c r="E9" s="10">
        <f t="shared" si="6"/>
        <v>25.08</v>
      </c>
      <c r="F9" s="10">
        <f t="shared" si="7"/>
        <v>25.08</v>
      </c>
      <c r="G9" s="10">
        <f t="shared" si="8"/>
        <v>104.88316</v>
      </c>
      <c r="H9" s="10">
        <f t="shared" si="1"/>
        <v>94.066000000000003</v>
      </c>
      <c r="I9" s="10">
        <f t="shared" si="9"/>
        <v>163.91800000000001</v>
      </c>
      <c r="J9" s="10">
        <f t="shared" si="2"/>
        <v>163.91800000000001</v>
      </c>
      <c r="K9" s="58">
        <f t="shared" si="10"/>
        <v>464.63</v>
      </c>
      <c r="N9" s="17">
        <v>7</v>
      </c>
      <c r="O9" s="10">
        <v>104.88316</v>
      </c>
      <c r="P9" s="10">
        <f t="shared" si="0"/>
        <v>77.777777777777771</v>
      </c>
      <c r="Q9" s="10">
        <f t="shared" si="3"/>
        <v>12.424382708737083</v>
      </c>
      <c r="R9" s="58" t="str">
        <f t="shared" si="4"/>
        <v>12.4243827087371,77.7777777777778</v>
      </c>
    </row>
    <row r="10" spans="1:19" x14ac:dyDescent="0.25">
      <c r="A10" s="17">
        <v>8</v>
      </c>
      <c r="B10" s="10">
        <v>8</v>
      </c>
      <c r="C10" s="10">
        <f t="shared" si="5"/>
        <v>1</v>
      </c>
      <c r="D10" s="11">
        <v>14.696999999999999</v>
      </c>
      <c r="E10" s="10">
        <f t="shared" si="6"/>
        <v>28.134999999999998</v>
      </c>
      <c r="F10" s="10">
        <f t="shared" si="7"/>
        <v>28.134999999999998</v>
      </c>
      <c r="G10" s="10">
        <f t="shared" si="8"/>
        <v>133.01815999999999</v>
      </c>
      <c r="H10" s="10">
        <f t="shared" si="1"/>
        <v>117.57599999999999</v>
      </c>
      <c r="I10" s="10">
        <f t="shared" si="9"/>
        <v>211.642</v>
      </c>
      <c r="J10" s="10">
        <f t="shared" si="2"/>
        <v>211.642</v>
      </c>
      <c r="K10" s="58">
        <f t="shared" si="10"/>
        <v>676.27199999999993</v>
      </c>
      <c r="N10" s="17">
        <v>8</v>
      </c>
      <c r="O10" s="10">
        <v>133.01815999999999</v>
      </c>
      <c r="P10" s="10">
        <f t="shared" si="0"/>
        <v>88.888888888888886</v>
      </c>
      <c r="Q10" s="10">
        <f t="shared" si="3"/>
        <v>15.757234307700326</v>
      </c>
      <c r="R10" s="58" t="str">
        <f t="shared" si="4"/>
        <v>15.7572343077003,88.8888888888889</v>
      </c>
    </row>
    <row r="11" spans="1:19" x14ac:dyDescent="0.25">
      <c r="A11" s="17">
        <v>9</v>
      </c>
      <c r="B11" s="10">
        <v>9</v>
      </c>
      <c r="C11" s="10">
        <f t="shared" si="5"/>
        <v>1</v>
      </c>
      <c r="D11" s="11">
        <v>15.435</v>
      </c>
      <c r="E11" s="10">
        <f t="shared" si="6"/>
        <v>30.131999999999998</v>
      </c>
      <c r="F11" s="10">
        <f t="shared" si="7"/>
        <v>30.131999999999998</v>
      </c>
      <c r="G11" s="10">
        <f t="shared" si="8"/>
        <v>163.15016</v>
      </c>
      <c r="H11" s="10">
        <f t="shared" si="1"/>
        <v>138.91499999999999</v>
      </c>
      <c r="I11" s="10">
        <f t="shared" si="9"/>
        <v>256.49099999999999</v>
      </c>
      <c r="J11" s="10">
        <f t="shared" si="2"/>
        <v>256.49099999999999</v>
      </c>
      <c r="K11" s="58">
        <f t="shared" si="10"/>
        <v>932.76299999999992</v>
      </c>
      <c r="N11" s="17">
        <v>9</v>
      </c>
      <c r="O11" s="10">
        <v>163.15016</v>
      </c>
      <c r="P11" s="10">
        <f t="shared" si="0"/>
        <v>100</v>
      </c>
      <c r="Q11" s="10">
        <f t="shared" si="3"/>
        <v>19.326649071516233</v>
      </c>
      <c r="R11" s="58" t="str">
        <f t="shared" si="4"/>
        <v>19.3266490715162,100</v>
      </c>
    </row>
    <row r="12" spans="1:19" x14ac:dyDescent="0.25">
      <c r="A12" s="17">
        <v>10</v>
      </c>
      <c r="B12" s="10">
        <v>10</v>
      </c>
      <c r="C12" s="10">
        <f t="shared" si="5"/>
        <v>1</v>
      </c>
      <c r="D12" s="11">
        <v>15.819000000000001</v>
      </c>
      <c r="E12" s="10">
        <f t="shared" si="6"/>
        <v>31.254000000000001</v>
      </c>
      <c r="F12" s="10">
        <f t="shared" si="7"/>
        <v>31.254000000000001</v>
      </c>
      <c r="G12" s="10">
        <f t="shared" si="8"/>
        <v>194.40415999999999</v>
      </c>
      <c r="H12" s="10">
        <f t="shared" si="1"/>
        <v>158.19</v>
      </c>
      <c r="I12" s="10">
        <f t="shared" si="9"/>
        <v>297.10500000000002</v>
      </c>
      <c r="J12" s="10">
        <f t="shared" si="2"/>
        <v>297.10500000000002</v>
      </c>
      <c r="K12" s="58">
        <f t="shared" si="10"/>
        <v>1229.8679999999999</v>
      </c>
      <c r="N12" s="17">
        <v>10</v>
      </c>
      <c r="O12" s="10">
        <v>194.40415999999999</v>
      </c>
      <c r="P12" s="10">
        <f t="shared" si="0"/>
        <v>111.11111111111111</v>
      </c>
      <c r="Q12" s="10">
        <f t="shared" si="3"/>
        <v>23.028975137768132</v>
      </c>
      <c r="R12" s="58" t="str">
        <f t="shared" si="4"/>
        <v>23.0289751377681,111.111111111111</v>
      </c>
    </row>
    <row r="13" spans="1:19" x14ac:dyDescent="0.25">
      <c r="A13" s="17">
        <v>11</v>
      </c>
      <c r="B13" s="10">
        <v>11</v>
      </c>
      <c r="C13" s="10">
        <f t="shared" si="5"/>
        <v>1</v>
      </c>
      <c r="D13" s="11">
        <v>15.984</v>
      </c>
      <c r="E13" s="10">
        <f t="shared" si="6"/>
        <v>31.803000000000001</v>
      </c>
      <c r="F13" s="10">
        <f t="shared" si="7"/>
        <v>31.803000000000001</v>
      </c>
      <c r="G13" s="10">
        <f t="shared" si="8"/>
        <v>226.20715999999999</v>
      </c>
      <c r="H13" s="10">
        <f t="shared" si="1"/>
        <v>175.82400000000001</v>
      </c>
      <c r="I13" s="10">
        <f t="shared" si="9"/>
        <v>334.01400000000001</v>
      </c>
      <c r="J13" s="10">
        <f t="shared" si="2"/>
        <v>334.01400000000001</v>
      </c>
      <c r="K13" s="58">
        <f t="shared" si="10"/>
        <v>1563.8820000000001</v>
      </c>
      <c r="N13" s="17">
        <v>11</v>
      </c>
      <c r="O13" s="10">
        <v>226.20715999999999</v>
      </c>
      <c r="P13" s="10">
        <f t="shared" si="0"/>
        <v>122.22222222222221</v>
      </c>
      <c r="Q13" s="10">
        <f t="shared" si="3"/>
        <v>26.79633534398203</v>
      </c>
      <c r="R13" s="58" t="str">
        <f t="shared" si="4"/>
        <v>26.796335343982,122.222222222222</v>
      </c>
    </row>
    <row r="14" spans="1:19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31.984000000000002</v>
      </c>
      <c r="F14" s="10">
        <f t="shared" si="7"/>
        <v>31.984000000000002</v>
      </c>
      <c r="G14" s="10">
        <f t="shared" si="8"/>
        <v>258.19115999999997</v>
      </c>
      <c r="H14" s="10">
        <f t="shared" si="1"/>
        <v>192</v>
      </c>
      <c r="I14" s="10">
        <f t="shared" si="9"/>
        <v>367.82400000000001</v>
      </c>
      <c r="J14" s="10">
        <f t="shared" si="2"/>
        <v>367.82400000000001</v>
      </c>
      <c r="K14" s="58">
        <f t="shared" si="10"/>
        <v>1931.7060000000001</v>
      </c>
      <c r="N14" s="17">
        <v>12</v>
      </c>
      <c r="O14" s="10">
        <v>258.19115999999997</v>
      </c>
      <c r="P14" s="10">
        <f t="shared" si="0"/>
        <v>133.33333333333331</v>
      </c>
      <c r="Q14" s="10">
        <f t="shared" si="3"/>
        <v>30.585136678307261</v>
      </c>
      <c r="R14" s="58" t="str">
        <f t="shared" si="4"/>
        <v>30.5851366783073,133.333333333333</v>
      </c>
    </row>
    <row r="15" spans="1:19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32</v>
      </c>
      <c r="F15" s="10">
        <f t="shared" si="7"/>
        <v>32</v>
      </c>
      <c r="G15" s="10">
        <f t="shared" si="8"/>
        <v>290.19115999999997</v>
      </c>
      <c r="H15" s="10">
        <f t="shared" si="1"/>
        <v>208</v>
      </c>
      <c r="I15" s="10">
        <f t="shared" si="9"/>
        <v>400</v>
      </c>
      <c r="J15" s="10">
        <f t="shared" si="2"/>
        <v>400</v>
      </c>
      <c r="K15" s="58">
        <f t="shared" si="10"/>
        <v>2331.7060000000001</v>
      </c>
      <c r="N15" s="17">
        <v>13</v>
      </c>
      <c r="O15" s="10">
        <v>290.19115999999997</v>
      </c>
      <c r="P15" s="10">
        <f t="shared" si="0"/>
        <v>144.44444444444443</v>
      </c>
      <c r="Q15" s="10">
        <f t="shared" si="3"/>
        <v>34.375833360973829</v>
      </c>
      <c r="R15" s="58" t="str">
        <f t="shared" si="4"/>
        <v>34.3758333609738,144.444444444444</v>
      </c>
    </row>
    <row r="16" spans="1:19" x14ac:dyDescent="0.25">
      <c r="A16" s="17" t="s">
        <v>154</v>
      </c>
      <c r="B16" s="10">
        <v>13.6</v>
      </c>
      <c r="C16" s="10">
        <f t="shared" si="5"/>
        <v>0.59999999999999964</v>
      </c>
      <c r="D16" s="10">
        <v>16</v>
      </c>
      <c r="E16" s="10">
        <f t="shared" si="6"/>
        <v>32</v>
      </c>
      <c r="F16" s="10">
        <f t="shared" si="7"/>
        <v>19.199999999999989</v>
      </c>
      <c r="G16" s="10">
        <f t="shared" si="8"/>
        <v>309.39115999999996</v>
      </c>
      <c r="H16" s="10">
        <f t="shared" si="1"/>
        <v>217.6</v>
      </c>
      <c r="I16" s="10">
        <f t="shared" si="9"/>
        <v>425.6</v>
      </c>
      <c r="J16" s="10">
        <f t="shared" si="2"/>
        <v>255.35999999999987</v>
      </c>
      <c r="K16" s="58">
        <f t="shared" si="10"/>
        <v>2587.0659999999998</v>
      </c>
      <c r="N16" s="17">
        <v>13.6</v>
      </c>
      <c r="O16" s="10">
        <v>309.39115999999996</v>
      </c>
      <c r="P16" s="10">
        <f t="shared" si="0"/>
        <v>151.11111111111111</v>
      </c>
      <c r="Q16" s="10">
        <f t="shared" si="3"/>
        <v>36.650251370573763</v>
      </c>
      <c r="R16" s="58" t="str">
        <f t="shared" si="4"/>
        <v>36.6502513705738,151.111111111111</v>
      </c>
    </row>
    <row r="17" spans="1:21" ht="15.75" thickBot="1" x14ac:dyDescent="0.3">
      <c r="A17" s="19" t="s">
        <v>5</v>
      </c>
      <c r="B17" s="34">
        <v>14.22</v>
      </c>
      <c r="C17" s="34">
        <f t="shared" si="5"/>
        <v>0.62000000000000099</v>
      </c>
      <c r="D17" s="34">
        <v>16</v>
      </c>
      <c r="E17" s="34">
        <f t="shared" si="6"/>
        <v>32</v>
      </c>
      <c r="F17" s="34">
        <f t="shared" si="7"/>
        <v>19.840000000000032</v>
      </c>
      <c r="G17" s="34">
        <f t="shared" si="8"/>
        <v>329.23115999999999</v>
      </c>
      <c r="H17" s="34">
        <f t="shared" si="1"/>
        <v>227.52</v>
      </c>
      <c r="I17" s="34">
        <f t="shared" si="9"/>
        <v>445.12</v>
      </c>
      <c r="J17" s="34">
        <f t="shared" si="2"/>
        <v>275.97440000000046</v>
      </c>
      <c r="K17" s="59">
        <f t="shared" si="10"/>
        <v>2863.0404000000003</v>
      </c>
      <c r="N17" s="19">
        <v>14.22</v>
      </c>
      <c r="O17" s="34">
        <v>329.23115999999999</v>
      </c>
      <c r="P17" s="34">
        <f t="shared" si="0"/>
        <v>158</v>
      </c>
      <c r="Q17" s="34">
        <f t="shared" si="3"/>
        <v>39.00048331382704</v>
      </c>
      <c r="R17" s="59" t="str">
        <f t="shared" si="4"/>
        <v>39.000483313827,158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4.0815000000000001</v>
      </c>
      <c r="P25" s="10">
        <f t="shared" ref="P25:P39" si="11">N25*$O$21</f>
        <v>11.111111111111111</v>
      </c>
      <c r="Q25" s="10">
        <f t="shared" ref="Q25:Q39" si="12">O25*$U$21</f>
        <v>7.0940158105042117E-2</v>
      </c>
      <c r="R25" s="58" t="str">
        <f t="shared" ref="R25:R39" si="13">CONCATENATE(Q25,",",P25)</f>
        <v>0.0709401581050421,11.1111111111111</v>
      </c>
    </row>
    <row r="26" spans="1:21" x14ac:dyDescent="0.25">
      <c r="N26" s="17">
        <v>2</v>
      </c>
      <c r="O26" s="10">
        <v>19.048400000000001</v>
      </c>
      <c r="P26" s="10">
        <f t="shared" si="11"/>
        <v>22.222222222222221</v>
      </c>
      <c r="Q26" s="10">
        <f t="shared" si="12"/>
        <v>0.33107840442192438</v>
      </c>
      <c r="R26" s="58" t="str">
        <f t="shared" si="13"/>
        <v>0.331078404421924,22.2222222222222</v>
      </c>
    </row>
    <row r="27" spans="1:21" x14ac:dyDescent="0.25">
      <c r="N27" s="17">
        <v>3</v>
      </c>
      <c r="O27" s="10">
        <v>49.865499999999997</v>
      </c>
      <c r="P27" s="10">
        <f t="shared" si="11"/>
        <v>33.333333333333329</v>
      </c>
      <c r="Q27" s="10">
        <f t="shared" si="12"/>
        <v>0.86670744921890908</v>
      </c>
      <c r="R27" s="58" t="str">
        <f t="shared" si="13"/>
        <v>0.866707449218909,33.3333333333333</v>
      </c>
    </row>
    <row r="28" spans="1:21" x14ac:dyDescent="0.25">
      <c r="N28" s="17">
        <v>4</v>
      </c>
      <c r="O28" s="10">
        <v>101.83359999999999</v>
      </c>
      <c r="P28" s="10">
        <f t="shared" si="11"/>
        <v>44.444444444444443</v>
      </c>
      <c r="Q28" s="10">
        <f t="shared" si="12"/>
        <v>1.7699599863789333</v>
      </c>
      <c r="R28" s="58" t="str">
        <f t="shared" si="13"/>
        <v>1.76995998637893,44.4444444444444</v>
      </c>
    </row>
    <row r="29" spans="1:21" x14ac:dyDescent="0.25">
      <c r="N29" s="17">
        <v>5</v>
      </c>
      <c r="O29" s="10">
        <v>182.36499999999998</v>
      </c>
      <c r="P29" s="10">
        <f t="shared" si="11"/>
        <v>55.555555555555557</v>
      </c>
      <c r="Q29" s="10">
        <f t="shared" si="12"/>
        <v>3.1696684877682233</v>
      </c>
      <c r="R29" s="58" t="str">
        <f t="shared" si="13"/>
        <v>3.16966848776822,55.5555555555556</v>
      </c>
    </row>
    <row r="30" spans="1:21" x14ac:dyDescent="0.25">
      <c r="N30" s="17">
        <v>6</v>
      </c>
      <c r="O30" s="10">
        <v>300.71199999999999</v>
      </c>
      <c r="P30" s="10">
        <f t="shared" si="11"/>
        <v>66.666666666666657</v>
      </c>
      <c r="Q30" s="10">
        <f t="shared" si="12"/>
        <v>5.2266462879047957</v>
      </c>
      <c r="R30" s="58" t="str">
        <f t="shared" si="13"/>
        <v>5.2266462879048,66.6666666666667</v>
      </c>
    </row>
    <row r="31" spans="1:21" x14ac:dyDescent="0.25">
      <c r="N31" s="17">
        <v>7</v>
      </c>
      <c r="O31" s="10">
        <v>464.63</v>
      </c>
      <c r="P31" s="10">
        <f t="shared" si="11"/>
        <v>77.777777777777771</v>
      </c>
      <c r="Q31" s="10">
        <f t="shared" si="12"/>
        <v>8.0756892466852186</v>
      </c>
      <c r="R31" s="58" t="str">
        <f t="shared" si="13"/>
        <v>8.07568924668522,77.7777777777778</v>
      </c>
    </row>
    <row r="32" spans="1:21" x14ac:dyDescent="0.25">
      <c r="N32" s="17">
        <v>8</v>
      </c>
      <c r="O32" s="10">
        <v>676.27199999999993</v>
      </c>
      <c r="P32" s="10">
        <f t="shared" si="11"/>
        <v>88.888888888888886</v>
      </c>
      <c r="Q32" s="10">
        <f t="shared" si="12"/>
        <v>11.754218449592805</v>
      </c>
      <c r="R32" s="58" t="str">
        <f t="shared" si="13"/>
        <v>11.7542184495928,88.8888888888889</v>
      </c>
    </row>
    <row r="33" spans="14:18" x14ac:dyDescent="0.25">
      <c r="N33" s="17">
        <v>9</v>
      </c>
      <c r="O33" s="10">
        <v>932.76299999999992</v>
      </c>
      <c r="P33" s="10">
        <f t="shared" si="11"/>
        <v>100</v>
      </c>
      <c r="Q33" s="10">
        <f t="shared" si="12"/>
        <v>16.212263798734138</v>
      </c>
      <c r="R33" s="58" t="str">
        <f t="shared" si="13"/>
        <v>16.2122637987341,100</v>
      </c>
    </row>
    <row r="34" spans="14:18" x14ac:dyDescent="0.25">
      <c r="N34" s="17">
        <v>10</v>
      </c>
      <c r="O34" s="10">
        <v>1229.8679999999999</v>
      </c>
      <c r="P34" s="10">
        <f t="shared" si="11"/>
        <v>111.11111111111111</v>
      </c>
      <c r="Q34" s="10">
        <f t="shared" si="12"/>
        <v>21.376217167299259</v>
      </c>
      <c r="R34" s="58" t="str">
        <f t="shared" si="13"/>
        <v>21.3762171672993,111.111111111111</v>
      </c>
    </row>
    <row r="35" spans="14:18" x14ac:dyDescent="0.25">
      <c r="N35" s="17">
        <v>11</v>
      </c>
      <c r="O35" s="10">
        <v>1563.8820000000001</v>
      </c>
      <c r="P35" s="10">
        <f t="shared" si="11"/>
        <v>122.22222222222221</v>
      </c>
      <c r="Q35" s="10">
        <f t="shared" si="12"/>
        <v>27.181682307394212</v>
      </c>
      <c r="R35" s="58" t="str">
        <f t="shared" si="13"/>
        <v>27.1816823073942,122.222222222222</v>
      </c>
    </row>
    <row r="36" spans="14:18" x14ac:dyDescent="0.25">
      <c r="N36" s="17">
        <v>12</v>
      </c>
      <c r="O36" s="10">
        <v>1931.7060000000001</v>
      </c>
      <c r="P36" s="10">
        <f t="shared" si="11"/>
        <v>133.33333333333331</v>
      </c>
      <c r="Q36" s="10">
        <f t="shared" si="12"/>
        <v>33.57479579871579</v>
      </c>
      <c r="R36" s="58" t="str">
        <f t="shared" si="13"/>
        <v>33.5747957987158,133.333333333333</v>
      </c>
    </row>
    <row r="37" spans="14:18" x14ac:dyDescent="0.25">
      <c r="N37" s="17">
        <v>13</v>
      </c>
      <c r="O37" s="10">
        <v>2331.7060000000001</v>
      </c>
      <c r="P37" s="10">
        <f t="shared" si="11"/>
        <v>144.44444444444443</v>
      </c>
      <c r="Q37" s="10">
        <f t="shared" si="12"/>
        <v>40.527157244756914</v>
      </c>
      <c r="R37" s="58" t="str">
        <f t="shared" si="13"/>
        <v>40.5271572447569,144.444444444444</v>
      </c>
    </row>
    <row r="38" spans="14:18" x14ac:dyDescent="0.25">
      <c r="N38" s="17">
        <v>13.6</v>
      </c>
      <c r="O38" s="10">
        <v>2587.0659999999998</v>
      </c>
      <c r="P38" s="10">
        <f t="shared" si="11"/>
        <v>151.11111111111111</v>
      </c>
      <c r="Q38" s="10">
        <f t="shared" si="12"/>
        <v>44.965544791909558</v>
      </c>
      <c r="R38" s="58" t="str">
        <f t="shared" si="13"/>
        <v>44.9655447919096,151.111111111111</v>
      </c>
    </row>
    <row r="39" spans="14:18" ht="15.75" thickBot="1" x14ac:dyDescent="0.3">
      <c r="N39" s="19">
        <v>14.22</v>
      </c>
      <c r="O39" s="34">
        <v>2863.0404000000003</v>
      </c>
      <c r="P39" s="34">
        <f t="shared" si="11"/>
        <v>158</v>
      </c>
      <c r="Q39" s="34">
        <f t="shared" si="12"/>
        <v>49.762229238545395</v>
      </c>
      <c r="R39" s="59" t="str">
        <f t="shared" si="13"/>
        <v>49.7622292385454,158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8C1A-0204-410A-BB14-13C9B5F6E7AE}">
  <dimension ref="A1:U39"/>
  <sheetViews>
    <sheetView zoomScale="85" zoomScaleNormal="85" workbookViewId="0">
      <selection activeCell="U38" sqref="U38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3.140625" style="4" customWidth="1"/>
    <col min="16" max="16" width="11.5703125" style="4" customWidth="1"/>
    <col min="17" max="17" width="12.5703125" style="4" customWidth="1"/>
    <col min="18" max="18" width="36.1406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1.2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6.0964</v>
      </c>
      <c r="E3" s="10">
        <f>D3+D2</f>
        <v>7.2964000000000002</v>
      </c>
      <c r="F3" s="10">
        <f>C3*E3</f>
        <v>7.2964000000000002</v>
      </c>
      <c r="G3" s="10">
        <f>G2+F3</f>
        <v>7.2964000000000002</v>
      </c>
      <c r="H3" s="10">
        <f t="shared" ref="H3:H17" si="1">B3*D3</f>
        <v>6.0964</v>
      </c>
      <c r="I3" s="10">
        <f>H3+H2</f>
        <v>6.0964</v>
      </c>
      <c r="J3" s="10">
        <f t="shared" ref="J3:J17" si="2">C3*I3</f>
        <v>6.0964</v>
      </c>
      <c r="K3" s="58">
        <f>K2+J3</f>
        <v>6.0964</v>
      </c>
      <c r="N3" s="17">
        <v>1</v>
      </c>
      <c r="O3" s="10">
        <v>7.2964000000000002</v>
      </c>
      <c r="P3" s="10">
        <f t="shared" si="0"/>
        <v>11.111111111111111</v>
      </c>
      <c r="Q3" s="10">
        <f t="shared" ref="Q3:Q17" si="3">O3*$R$21</f>
        <v>0.86432622735651032</v>
      </c>
      <c r="R3" s="58" t="str">
        <f t="shared" ref="R3:R17" si="4">CONCATENATE(Q3,",",P3)</f>
        <v>0.86432622735651,11.1111111111111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8.0486000000000004</v>
      </c>
      <c r="E4" s="10">
        <f t="shared" ref="E4:E17" si="6">D4+D3</f>
        <v>14.145</v>
      </c>
      <c r="F4" s="10">
        <f t="shared" ref="F4:F17" si="7">C4*E4</f>
        <v>14.145</v>
      </c>
      <c r="G4" s="10">
        <f t="shared" ref="G4:G17" si="8">G3+F4</f>
        <v>21.441400000000002</v>
      </c>
      <c r="H4" s="10">
        <f t="shared" si="1"/>
        <v>16.097200000000001</v>
      </c>
      <c r="I4" s="10">
        <f t="shared" ref="I4:I17" si="9">H4+H3</f>
        <v>22.1936</v>
      </c>
      <c r="J4" s="10">
        <f t="shared" si="2"/>
        <v>22.1936</v>
      </c>
      <c r="K4" s="58">
        <f t="shared" ref="K4:K17" si="10">K3+J4</f>
        <v>28.29</v>
      </c>
      <c r="N4" s="17">
        <v>2</v>
      </c>
      <c r="O4" s="10">
        <v>21.441400000000002</v>
      </c>
      <c r="P4" s="10">
        <f t="shared" si="0"/>
        <v>22.222222222222221</v>
      </c>
      <c r="Q4" s="10">
        <f t="shared" si="3"/>
        <v>2.5399326203664656</v>
      </c>
      <c r="R4" s="58" t="str">
        <f t="shared" si="4"/>
        <v>2.53993262036647,22.2222222222222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9.7337000000000007</v>
      </c>
      <c r="E5" s="10">
        <f t="shared" si="6"/>
        <v>17.782299999999999</v>
      </c>
      <c r="F5" s="10">
        <f t="shared" si="7"/>
        <v>17.782299999999999</v>
      </c>
      <c r="G5" s="10">
        <f t="shared" si="8"/>
        <v>39.223700000000001</v>
      </c>
      <c r="H5" s="10">
        <f t="shared" si="1"/>
        <v>29.201100000000004</v>
      </c>
      <c r="I5" s="10">
        <f t="shared" si="9"/>
        <v>45.298300000000005</v>
      </c>
      <c r="J5" s="10">
        <f t="shared" si="2"/>
        <v>45.298300000000005</v>
      </c>
      <c r="K5" s="58">
        <f t="shared" si="10"/>
        <v>73.588300000000004</v>
      </c>
      <c r="N5" s="17">
        <v>3</v>
      </c>
      <c r="O5" s="10">
        <v>39.223700000000001</v>
      </c>
      <c r="P5" s="10">
        <f t="shared" si="0"/>
        <v>33.333333333333329</v>
      </c>
      <c r="Q5" s="10">
        <f t="shared" si="3"/>
        <v>4.6464109209971429</v>
      </c>
      <c r="R5" s="58" t="str">
        <f t="shared" si="4"/>
        <v>4.64641092099714,33.3333333333333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11.324999999999999</v>
      </c>
      <c r="E6" s="10">
        <f t="shared" si="6"/>
        <v>21.058700000000002</v>
      </c>
      <c r="F6" s="10">
        <f t="shared" si="7"/>
        <v>21.058700000000002</v>
      </c>
      <c r="G6" s="10">
        <f t="shared" si="8"/>
        <v>60.282400000000003</v>
      </c>
      <c r="H6" s="10">
        <f t="shared" si="1"/>
        <v>45.3</v>
      </c>
      <c r="I6" s="10">
        <f t="shared" si="9"/>
        <v>74.501100000000008</v>
      </c>
      <c r="J6" s="10">
        <f t="shared" si="2"/>
        <v>74.501100000000008</v>
      </c>
      <c r="K6" s="58">
        <f t="shared" si="10"/>
        <v>148.08940000000001</v>
      </c>
      <c r="N6" s="17">
        <v>4</v>
      </c>
      <c r="O6" s="10">
        <v>60.282400000000003</v>
      </c>
      <c r="P6" s="10">
        <f t="shared" si="0"/>
        <v>44.444444444444443</v>
      </c>
      <c r="Q6" s="10">
        <f t="shared" si="3"/>
        <v>7.1410091782243432</v>
      </c>
      <c r="R6" s="58" t="str">
        <f t="shared" si="4"/>
        <v>7.14100917822434,44.4444444444444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12.826000000000001</v>
      </c>
      <c r="E7" s="10">
        <f t="shared" si="6"/>
        <v>24.151</v>
      </c>
      <c r="F7" s="10">
        <f t="shared" si="7"/>
        <v>24.151</v>
      </c>
      <c r="G7" s="10">
        <f t="shared" si="8"/>
        <v>84.433400000000006</v>
      </c>
      <c r="H7" s="10">
        <f t="shared" si="1"/>
        <v>64.13</v>
      </c>
      <c r="I7" s="10">
        <f t="shared" si="9"/>
        <v>109.42999999999999</v>
      </c>
      <c r="J7" s="10">
        <f t="shared" si="2"/>
        <v>109.42999999999999</v>
      </c>
      <c r="K7" s="58">
        <f t="shared" si="10"/>
        <v>257.51940000000002</v>
      </c>
      <c r="N7" s="17">
        <v>5</v>
      </c>
      <c r="O7" s="10">
        <v>84.433400000000006</v>
      </c>
      <c r="P7" s="10">
        <f t="shared" si="0"/>
        <v>55.555555555555557</v>
      </c>
      <c r="Q7" s="10">
        <f t="shared" si="3"/>
        <v>10.001919040195601</v>
      </c>
      <c r="R7" s="58" t="str">
        <f t="shared" si="4"/>
        <v>10.0019190401956,55.5555555555556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14.112</v>
      </c>
      <c r="E8" s="10">
        <f t="shared" si="6"/>
        <v>26.938000000000002</v>
      </c>
      <c r="F8" s="10">
        <f t="shared" si="7"/>
        <v>26.938000000000002</v>
      </c>
      <c r="G8" s="10">
        <f t="shared" si="8"/>
        <v>111.37140000000001</v>
      </c>
      <c r="H8" s="10">
        <f t="shared" si="1"/>
        <v>84.671999999999997</v>
      </c>
      <c r="I8" s="10">
        <f t="shared" si="9"/>
        <v>148.80199999999999</v>
      </c>
      <c r="J8" s="10">
        <f t="shared" si="2"/>
        <v>148.80199999999999</v>
      </c>
      <c r="K8" s="58">
        <f t="shared" si="10"/>
        <v>406.32140000000004</v>
      </c>
      <c r="N8" s="17">
        <v>6</v>
      </c>
      <c r="O8" s="10">
        <v>111.37140000000001</v>
      </c>
      <c r="P8" s="10">
        <f t="shared" si="0"/>
        <v>66.666666666666657</v>
      </c>
      <c r="Q8" s="10">
        <f t="shared" si="3"/>
        <v>13.192974891372849</v>
      </c>
      <c r="R8" s="58" t="str">
        <f t="shared" si="4"/>
        <v>13.1929748913728,66.6666666666667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15.034000000000001</v>
      </c>
      <c r="E9" s="10">
        <f t="shared" si="6"/>
        <v>29.146000000000001</v>
      </c>
      <c r="F9" s="10">
        <f t="shared" si="7"/>
        <v>29.146000000000001</v>
      </c>
      <c r="G9" s="10">
        <f t="shared" si="8"/>
        <v>140.51740000000001</v>
      </c>
      <c r="H9" s="10">
        <f t="shared" si="1"/>
        <v>105.238</v>
      </c>
      <c r="I9" s="10">
        <f t="shared" si="9"/>
        <v>189.91</v>
      </c>
      <c r="J9" s="10">
        <f t="shared" si="2"/>
        <v>189.91</v>
      </c>
      <c r="K9" s="58">
        <f t="shared" si="10"/>
        <v>596.23140000000001</v>
      </c>
      <c r="N9" s="17">
        <v>7</v>
      </c>
      <c r="O9" s="10">
        <v>140.51740000000001</v>
      </c>
      <c r="P9" s="10">
        <f t="shared" si="0"/>
        <v>77.777777777777771</v>
      </c>
      <c r="Q9" s="10">
        <f t="shared" si="3"/>
        <v>16.64558881365409</v>
      </c>
      <c r="R9" s="58" t="str">
        <f t="shared" si="4"/>
        <v>16.6455888136541,77.7777777777778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15.585000000000001</v>
      </c>
      <c r="E10" s="10">
        <f t="shared" si="6"/>
        <v>30.619</v>
      </c>
      <c r="F10" s="10">
        <f t="shared" si="7"/>
        <v>30.619</v>
      </c>
      <c r="G10" s="10">
        <f t="shared" si="8"/>
        <v>171.13640000000001</v>
      </c>
      <c r="H10" s="10">
        <f t="shared" si="1"/>
        <v>124.68</v>
      </c>
      <c r="I10" s="10">
        <f t="shared" si="9"/>
        <v>229.91800000000001</v>
      </c>
      <c r="J10" s="10">
        <f t="shared" si="2"/>
        <v>229.91800000000001</v>
      </c>
      <c r="K10" s="58">
        <f t="shared" si="10"/>
        <v>826.14940000000001</v>
      </c>
      <c r="N10" s="17">
        <v>8</v>
      </c>
      <c r="O10" s="10">
        <v>171.13640000000001</v>
      </c>
      <c r="P10" s="10">
        <f t="shared" si="0"/>
        <v>88.888888888888886</v>
      </c>
      <c r="Q10" s="10">
        <f t="shared" si="3"/>
        <v>20.272693242609328</v>
      </c>
      <c r="R10" s="58" t="str">
        <f t="shared" si="4"/>
        <v>20.2726932426093,88.8888888888889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15.878</v>
      </c>
      <c r="E11" s="10">
        <f t="shared" si="6"/>
        <v>31.463000000000001</v>
      </c>
      <c r="F11" s="10">
        <f t="shared" si="7"/>
        <v>31.463000000000001</v>
      </c>
      <c r="G11" s="10">
        <f t="shared" si="8"/>
        <v>202.5994</v>
      </c>
      <c r="H11" s="10">
        <f t="shared" si="1"/>
        <v>142.90199999999999</v>
      </c>
      <c r="I11" s="10">
        <f t="shared" si="9"/>
        <v>267.58199999999999</v>
      </c>
      <c r="J11" s="10">
        <f t="shared" si="2"/>
        <v>267.58199999999999</v>
      </c>
      <c r="K11" s="58">
        <f t="shared" si="10"/>
        <v>1093.7314000000001</v>
      </c>
      <c r="N11" s="17">
        <v>9</v>
      </c>
      <c r="O11" s="10">
        <v>202.5994</v>
      </c>
      <c r="P11" s="10">
        <f t="shared" si="0"/>
        <v>100</v>
      </c>
      <c r="Q11" s="10">
        <f t="shared" si="3"/>
        <v>23.999777296569892</v>
      </c>
      <c r="R11" s="58" t="str">
        <f t="shared" si="4"/>
        <v>23.9997772965699,100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15.991</v>
      </c>
      <c r="E12" s="10">
        <f t="shared" si="6"/>
        <v>31.869</v>
      </c>
      <c r="F12" s="10">
        <f t="shared" si="7"/>
        <v>31.869</v>
      </c>
      <c r="G12" s="10">
        <f t="shared" si="8"/>
        <v>234.4684</v>
      </c>
      <c r="H12" s="10">
        <f t="shared" si="1"/>
        <v>159.91</v>
      </c>
      <c r="I12" s="10">
        <f t="shared" si="9"/>
        <v>302.81200000000001</v>
      </c>
      <c r="J12" s="10">
        <f t="shared" si="2"/>
        <v>302.81200000000001</v>
      </c>
      <c r="K12" s="58">
        <f t="shared" si="10"/>
        <v>1396.5434</v>
      </c>
      <c r="N12" s="17">
        <v>10</v>
      </c>
      <c r="O12" s="10">
        <v>234.4684</v>
      </c>
      <c r="P12" s="10">
        <f t="shared" si="0"/>
        <v>111.11111111111111</v>
      </c>
      <c r="Q12" s="10">
        <f t="shared" si="3"/>
        <v>27.774955814691793</v>
      </c>
      <c r="R12" s="58" t="str">
        <f t="shared" si="4"/>
        <v>27.7749558146918,111.111111111111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31.991</v>
      </c>
      <c r="F13" s="10">
        <f t="shared" si="7"/>
        <v>31.991</v>
      </c>
      <c r="G13" s="10">
        <f t="shared" si="8"/>
        <v>266.45940000000002</v>
      </c>
      <c r="H13" s="10">
        <f t="shared" si="1"/>
        <v>176</v>
      </c>
      <c r="I13" s="10">
        <f t="shared" si="9"/>
        <v>335.90999999999997</v>
      </c>
      <c r="J13" s="10">
        <f t="shared" si="2"/>
        <v>335.90999999999997</v>
      </c>
      <c r="K13" s="58">
        <f t="shared" si="10"/>
        <v>1732.4533999999999</v>
      </c>
      <c r="N13" s="17">
        <v>11</v>
      </c>
      <c r="O13" s="10">
        <v>266.45940000000002</v>
      </c>
      <c r="P13" s="10">
        <f t="shared" si="0"/>
        <v>122.22222222222221</v>
      </c>
      <c r="Q13" s="10">
        <f t="shared" si="3"/>
        <v>31.564586363916359</v>
      </c>
      <c r="R13" s="58" t="str">
        <f t="shared" si="4"/>
        <v>31.5645863639164,122.222222222222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298.45940000000002</v>
      </c>
      <c r="H14" s="10">
        <f t="shared" si="1"/>
        <v>192</v>
      </c>
      <c r="I14" s="10">
        <f t="shared" si="9"/>
        <v>368</v>
      </c>
      <c r="J14" s="10">
        <f t="shared" si="2"/>
        <v>368</v>
      </c>
      <c r="K14" s="58">
        <f t="shared" si="10"/>
        <v>2100.4533999999999</v>
      </c>
      <c r="N14" s="17">
        <v>12</v>
      </c>
      <c r="O14" s="10">
        <v>298.45940000000002</v>
      </c>
      <c r="P14" s="10">
        <f t="shared" si="0"/>
        <v>133.33333333333331</v>
      </c>
      <c r="Q14" s="10">
        <f t="shared" si="3"/>
        <v>35.355283046582926</v>
      </c>
      <c r="R14" s="58" t="str">
        <f t="shared" si="4"/>
        <v>35.3552830465829,133.333333333333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32</v>
      </c>
      <c r="F15" s="10">
        <f t="shared" si="7"/>
        <v>32</v>
      </c>
      <c r="G15" s="10">
        <f t="shared" si="8"/>
        <v>330.45940000000002</v>
      </c>
      <c r="H15" s="10">
        <f t="shared" si="1"/>
        <v>208</v>
      </c>
      <c r="I15" s="10">
        <f t="shared" si="9"/>
        <v>400</v>
      </c>
      <c r="J15" s="10">
        <f t="shared" si="2"/>
        <v>400</v>
      </c>
      <c r="K15" s="58">
        <f t="shared" si="10"/>
        <v>2500.4533999999999</v>
      </c>
      <c r="N15" s="17">
        <v>13</v>
      </c>
      <c r="O15" s="10">
        <v>330.45940000000002</v>
      </c>
      <c r="P15" s="10">
        <f t="shared" si="0"/>
        <v>144.44444444444443</v>
      </c>
      <c r="Q15" s="10">
        <f t="shared" si="3"/>
        <v>39.14597972924949</v>
      </c>
      <c r="R15" s="58" t="str">
        <f t="shared" si="4"/>
        <v>39.1459797292495,144.444444444444</v>
      </c>
    </row>
    <row r="16" spans="1:18" x14ac:dyDescent="0.25">
      <c r="A16" s="17" t="s">
        <v>154</v>
      </c>
      <c r="B16" s="10">
        <v>13.45</v>
      </c>
      <c r="C16" s="10">
        <f t="shared" si="5"/>
        <v>0.44999999999999929</v>
      </c>
      <c r="D16" s="10">
        <v>16</v>
      </c>
      <c r="E16" s="10">
        <f t="shared" si="6"/>
        <v>32</v>
      </c>
      <c r="F16" s="10">
        <f t="shared" si="7"/>
        <v>14.399999999999977</v>
      </c>
      <c r="G16" s="10">
        <f t="shared" si="8"/>
        <v>344.85939999999999</v>
      </c>
      <c r="H16" s="10">
        <f t="shared" si="1"/>
        <v>215.2</v>
      </c>
      <c r="I16" s="10">
        <f t="shared" si="9"/>
        <v>423.2</v>
      </c>
      <c r="J16" s="10">
        <f t="shared" si="2"/>
        <v>190.43999999999969</v>
      </c>
      <c r="K16" s="58">
        <f t="shared" si="10"/>
        <v>2690.8933999999995</v>
      </c>
      <c r="N16" s="17">
        <v>13.45</v>
      </c>
      <c r="O16" s="10">
        <v>344.85939999999999</v>
      </c>
      <c r="P16" s="10">
        <f t="shared" si="0"/>
        <v>149.44444444444443</v>
      </c>
      <c r="Q16" s="10">
        <f t="shared" si="3"/>
        <v>40.851793236449446</v>
      </c>
      <c r="R16" s="58" t="str">
        <f t="shared" si="4"/>
        <v>40.8517932364494,149.444444444444</v>
      </c>
    </row>
    <row r="17" spans="1:21" ht="15.75" thickBot="1" x14ac:dyDescent="0.3">
      <c r="A17" s="19" t="s">
        <v>5</v>
      </c>
      <c r="B17" s="34">
        <v>14.07</v>
      </c>
      <c r="C17" s="34">
        <f t="shared" si="5"/>
        <v>0.62000000000000099</v>
      </c>
      <c r="D17" s="34">
        <v>16</v>
      </c>
      <c r="E17" s="34">
        <f t="shared" si="6"/>
        <v>32</v>
      </c>
      <c r="F17" s="34">
        <f t="shared" si="7"/>
        <v>19.840000000000032</v>
      </c>
      <c r="G17" s="34">
        <f t="shared" si="8"/>
        <v>364.69940000000003</v>
      </c>
      <c r="H17" s="34">
        <f t="shared" si="1"/>
        <v>225.12</v>
      </c>
      <c r="I17" s="34">
        <f t="shared" si="9"/>
        <v>440.32</v>
      </c>
      <c r="J17" s="34">
        <f t="shared" si="2"/>
        <v>272.99840000000046</v>
      </c>
      <c r="K17" s="59">
        <f t="shared" si="10"/>
        <v>2963.8917999999999</v>
      </c>
      <c r="N17" s="19">
        <v>14.07</v>
      </c>
      <c r="O17" s="34">
        <v>364.69940000000003</v>
      </c>
      <c r="P17" s="34">
        <f t="shared" si="0"/>
        <v>156.33333333333334</v>
      </c>
      <c r="Q17" s="34">
        <f t="shared" si="3"/>
        <v>43.202025179702716</v>
      </c>
      <c r="R17" s="59" t="str">
        <f t="shared" si="4"/>
        <v>43.2020251797027,156.333333333333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6.0964</v>
      </c>
      <c r="P25" s="10">
        <f t="shared" ref="P25:P39" si="11">N25*$O$21</f>
        <v>11.111111111111111</v>
      </c>
      <c r="Q25" s="10">
        <f t="shared" ref="Q25:Q39" si="12">O25*$U$21</f>
        <v>0.10596094079911277</v>
      </c>
      <c r="R25" s="58" t="str">
        <f t="shared" ref="R25:R39" si="13">CONCATENATE(Q25,",",P25)</f>
        <v>0.105960940799113,11.1111111111111</v>
      </c>
    </row>
    <row r="26" spans="1:21" x14ac:dyDescent="0.25">
      <c r="N26" s="17">
        <v>2</v>
      </c>
      <c r="O26" s="10">
        <v>28.29</v>
      </c>
      <c r="P26" s="10">
        <f t="shared" si="11"/>
        <v>22.222222222222221</v>
      </c>
      <c r="Q26" s="10">
        <f t="shared" si="12"/>
        <v>0.49170576327125842</v>
      </c>
      <c r="R26" s="58" t="str">
        <f t="shared" si="13"/>
        <v>0.491705763271258,22.2222222222222</v>
      </c>
    </row>
    <row r="27" spans="1:21" x14ac:dyDescent="0.25">
      <c r="N27" s="17">
        <v>3</v>
      </c>
      <c r="O27" s="10">
        <v>73.588300000000004</v>
      </c>
      <c r="P27" s="10">
        <f t="shared" si="11"/>
        <v>33.333333333333329</v>
      </c>
      <c r="Q27" s="10">
        <f t="shared" si="12"/>
        <v>1.2790311494992701</v>
      </c>
      <c r="R27" s="58" t="str">
        <f t="shared" si="13"/>
        <v>1.27903114949927,33.3333333333333</v>
      </c>
    </row>
    <row r="28" spans="1:21" x14ac:dyDescent="0.25">
      <c r="N28" s="17">
        <v>4</v>
      </c>
      <c r="O28" s="10">
        <v>148.08940000000001</v>
      </c>
      <c r="P28" s="10">
        <f t="shared" si="11"/>
        <v>44.444444444444443</v>
      </c>
      <c r="Q28" s="10">
        <f t="shared" si="12"/>
        <v>2.5739275878184062</v>
      </c>
      <c r="R28" s="58" t="str">
        <f t="shared" si="13"/>
        <v>2.57392758781841,44.4444444444444</v>
      </c>
    </row>
    <row r="29" spans="1:21" x14ac:dyDescent="0.25">
      <c r="N29" s="17">
        <v>5</v>
      </c>
      <c r="O29" s="10">
        <v>257.51940000000002</v>
      </c>
      <c r="P29" s="10">
        <f t="shared" si="11"/>
        <v>55.555555555555557</v>
      </c>
      <c r="Q29" s="10">
        <f t="shared" si="12"/>
        <v>4.4759198704191068</v>
      </c>
      <c r="R29" s="58" t="str">
        <f t="shared" si="13"/>
        <v>4.47591987041911,55.5555555555556</v>
      </c>
    </row>
    <row r="30" spans="1:21" x14ac:dyDescent="0.25">
      <c r="N30" s="17">
        <v>6</v>
      </c>
      <c r="O30" s="10">
        <v>406.32140000000004</v>
      </c>
      <c r="P30" s="10">
        <f t="shared" si="11"/>
        <v>66.666666666666657</v>
      </c>
      <c r="Q30" s="10">
        <f t="shared" si="12"/>
        <v>7.0622330901536348</v>
      </c>
      <c r="R30" s="58" t="str">
        <f t="shared" si="13"/>
        <v>7.06223309015363,66.6666666666667</v>
      </c>
    </row>
    <row r="31" spans="1:21" x14ac:dyDescent="0.25">
      <c r="N31" s="17">
        <v>7</v>
      </c>
      <c r="O31" s="10">
        <v>596.23140000000001</v>
      </c>
      <c r="P31" s="10">
        <f t="shared" si="11"/>
        <v>77.777777777777771</v>
      </c>
      <c r="Q31" s="10">
        <f t="shared" si="12"/>
        <v>10.36304049569781</v>
      </c>
      <c r="R31" s="58" t="str">
        <f t="shared" si="13"/>
        <v>10.3630404956978,77.7777777777778</v>
      </c>
    </row>
    <row r="32" spans="1:21" x14ac:dyDescent="0.25">
      <c r="N32" s="17">
        <v>8</v>
      </c>
      <c r="O32" s="10">
        <v>826.14940000000001</v>
      </c>
      <c r="P32" s="10">
        <f t="shared" si="11"/>
        <v>88.888888888888886</v>
      </c>
      <c r="Q32" s="10">
        <f t="shared" si="12"/>
        <v>14.359223093075016</v>
      </c>
      <c r="R32" s="58" t="str">
        <f t="shared" si="13"/>
        <v>14.359223093075,88.8888888888889</v>
      </c>
    </row>
    <row r="33" spans="14:18" x14ac:dyDescent="0.25">
      <c r="N33" s="17">
        <v>9</v>
      </c>
      <c r="O33" s="10">
        <v>1093.7314000000001</v>
      </c>
      <c r="P33" s="10">
        <f t="shared" si="11"/>
        <v>100</v>
      </c>
      <c r="Q33" s="10">
        <f t="shared" si="12"/>
        <v>19.010040044211458</v>
      </c>
      <c r="R33" s="58" t="str">
        <f t="shared" si="13"/>
        <v>19.0100400442115,100</v>
      </c>
    </row>
    <row r="34" spans="14:18" x14ac:dyDescent="0.25">
      <c r="N34" s="17">
        <v>10</v>
      </c>
      <c r="O34" s="10">
        <v>1396.5434</v>
      </c>
      <c r="P34" s="10">
        <f t="shared" si="11"/>
        <v>111.11111111111111</v>
      </c>
      <c r="Q34" s="10">
        <f t="shared" si="12"/>
        <v>24.273186229707967</v>
      </c>
      <c r="R34" s="58" t="str">
        <f t="shared" si="13"/>
        <v>24.273186229708,111.111111111111</v>
      </c>
    </row>
    <row r="35" spans="14:18" x14ac:dyDescent="0.25">
      <c r="N35" s="17">
        <v>11</v>
      </c>
      <c r="O35" s="10">
        <v>1732.4533999999999</v>
      </c>
      <c r="P35" s="10">
        <f t="shared" si="11"/>
        <v>122.22222222222221</v>
      </c>
      <c r="Q35" s="10">
        <f t="shared" si="12"/>
        <v>30.11160556305715</v>
      </c>
      <c r="R35" s="58" t="str">
        <f t="shared" si="13"/>
        <v>30.1116055630572,122.222222222222</v>
      </c>
    </row>
    <row r="36" spans="14:18" x14ac:dyDescent="0.25">
      <c r="N36" s="17">
        <v>12</v>
      </c>
      <c r="O36" s="10">
        <v>2100.4533999999999</v>
      </c>
      <c r="P36" s="10">
        <f t="shared" si="11"/>
        <v>133.33333333333331</v>
      </c>
      <c r="Q36" s="10">
        <f t="shared" si="12"/>
        <v>36.507778093414984</v>
      </c>
      <c r="R36" s="58" t="str">
        <f t="shared" si="13"/>
        <v>36.507778093415,133.333333333333</v>
      </c>
    </row>
    <row r="37" spans="14:18" x14ac:dyDescent="0.25">
      <c r="N37" s="17">
        <v>13</v>
      </c>
      <c r="O37" s="10">
        <v>2500.4533999999999</v>
      </c>
      <c r="P37" s="10">
        <f t="shared" si="11"/>
        <v>144.44444444444443</v>
      </c>
      <c r="Q37" s="10">
        <f t="shared" si="12"/>
        <v>43.460139539456108</v>
      </c>
      <c r="R37" s="58" t="str">
        <f t="shared" si="13"/>
        <v>43.4601395394561,144.444444444444</v>
      </c>
    </row>
    <row r="38" spans="14:18" x14ac:dyDescent="0.25">
      <c r="N38" s="17">
        <v>13.45</v>
      </c>
      <c r="O38" s="10">
        <v>2690.8933999999995</v>
      </c>
      <c r="P38" s="10">
        <f t="shared" si="11"/>
        <v>149.44444444444443</v>
      </c>
      <c r="Q38" s="10">
        <f t="shared" si="12"/>
        <v>46.770158823916276</v>
      </c>
      <c r="R38" s="58" t="str">
        <f t="shared" si="13"/>
        <v>46.7701588239163,149.444444444444</v>
      </c>
    </row>
    <row r="39" spans="14:18" ht="15.75" thickBot="1" x14ac:dyDescent="0.3">
      <c r="N39" s="19">
        <v>14.07</v>
      </c>
      <c r="O39" s="34">
        <v>2963.8917999999999</v>
      </c>
      <c r="P39" s="34">
        <f t="shared" si="11"/>
        <v>156.33333333333334</v>
      </c>
      <c r="Q39" s="34">
        <f t="shared" si="12"/>
        <v>51.515117701393571</v>
      </c>
      <c r="R39" s="59" t="str">
        <f t="shared" si="13"/>
        <v>51.5151177013936,156.333333333333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C5AE-87D6-4008-BCB7-54EECB0886EA}">
  <dimension ref="A1:U39"/>
  <sheetViews>
    <sheetView zoomScale="85" zoomScaleNormal="85" workbookViewId="0">
      <selection activeCell="U40" sqref="U40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3.7109375" style="4" customWidth="1"/>
    <col min="16" max="16" width="14.7109375" style="4" customWidth="1"/>
    <col min="17" max="17" width="17.85546875" style="4" customWidth="1"/>
    <col min="18" max="18" width="36.8554687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62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3.4156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8.6426999999999996</v>
      </c>
      <c r="E3" s="10">
        <f>D3+D2</f>
        <v>12.058299999999999</v>
      </c>
      <c r="F3" s="10">
        <f>C3*E3</f>
        <v>12.058299999999999</v>
      </c>
      <c r="G3" s="10">
        <f>G2+F3</f>
        <v>12.058299999999999</v>
      </c>
      <c r="H3" s="10">
        <f t="shared" ref="H3:H17" si="1">B3*D3</f>
        <v>8.6426999999999996</v>
      </c>
      <c r="I3" s="10">
        <f>H3+H2</f>
        <v>8.6426999999999996</v>
      </c>
      <c r="J3" s="10">
        <f t="shared" ref="J3:J17" si="2">C3*I3</f>
        <v>8.6426999999999996</v>
      </c>
      <c r="K3" s="58">
        <f>K2+J3</f>
        <v>8.6426999999999996</v>
      </c>
      <c r="N3" s="17">
        <v>1</v>
      </c>
      <c r="O3" s="10">
        <v>12.058299999999999</v>
      </c>
      <c r="P3" s="10">
        <f t="shared" si="0"/>
        <v>11.111111111111111</v>
      </c>
      <c r="Q3" s="10">
        <f t="shared" ref="Q3:Q17" si="3">O3*$R$21</f>
        <v>1.428417431518695</v>
      </c>
      <c r="R3" s="58" t="str">
        <f t="shared" ref="R3:R17" si="4">CONCATENATE(Q3,",",P3)</f>
        <v>1.4284174315187,11.1111111111111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10.855</v>
      </c>
      <c r="E4" s="10">
        <f t="shared" ref="E4:E17" si="6">D4+D3</f>
        <v>19.497700000000002</v>
      </c>
      <c r="F4" s="10">
        <f t="shared" ref="F4:F17" si="7">C4*E4</f>
        <v>19.497700000000002</v>
      </c>
      <c r="G4" s="10">
        <f t="shared" ref="G4:G17" si="8">G3+F4</f>
        <v>31.556000000000001</v>
      </c>
      <c r="H4" s="10">
        <f t="shared" si="1"/>
        <v>21.71</v>
      </c>
      <c r="I4" s="10">
        <f t="shared" ref="I4:I17" si="9">H4+H3</f>
        <v>30.352699999999999</v>
      </c>
      <c r="J4" s="10">
        <f t="shared" si="2"/>
        <v>30.352699999999999</v>
      </c>
      <c r="K4" s="58">
        <f t="shared" ref="K4:K17" si="10">K3+J4</f>
        <v>38.995399999999997</v>
      </c>
      <c r="N4" s="17">
        <v>2</v>
      </c>
      <c r="O4" s="10">
        <v>31.556000000000001</v>
      </c>
      <c r="P4" s="10">
        <f t="shared" si="0"/>
        <v>22.222222222222221</v>
      </c>
      <c r="Q4" s="10">
        <f t="shared" si="3"/>
        <v>3.7381007661945671</v>
      </c>
      <c r="R4" s="58" t="str">
        <f t="shared" si="4"/>
        <v>3.73810076619457,22.2222222222222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12.473000000000001</v>
      </c>
      <c r="E5" s="10">
        <f t="shared" si="6"/>
        <v>23.328000000000003</v>
      </c>
      <c r="F5" s="10">
        <f t="shared" si="7"/>
        <v>23.328000000000003</v>
      </c>
      <c r="G5" s="10">
        <f t="shared" si="8"/>
        <v>54.884</v>
      </c>
      <c r="H5" s="10">
        <f t="shared" si="1"/>
        <v>37.419000000000004</v>
      </c>
      <c r="I5" s="10">
        <f t="shared" si="9"/>
        <v>59.129000000000005</v>
      </c>
      <c r="J5" s="10">
        <f t="shared" si="2"/>
        <v>59.129000000000005</v>
      </c>
      <c r="K5" s="58">
        <f t="shared" si="10"/>
        <v>98.124400000000009</v>
      </c>
      <c r="N5" s="17">
        <v>3</v>
      </c>
      <c r="O5" s="10">
        <v>54.884</v>
      </c>
      <c r="P5" s="10">
        <f t="shared" si="0"/>
        <v>33.333333333333329</v>
      </c>
      <c r="Q5" s="10">
        <f t="shared" si="3"/>
        <v>6.501518647858493</v>
      </c>
      <c r="R5" s="58" t="str">
        <f t="shared" si="4"/>
        <v>6.50151864785849,33.3333333333333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13.733000000000001</v>
      </c>
      <c r="E6" s="10">
        <f t="shared" si="6"/>
        <v>26.206000000000003</v>
      </c>
      <c r="F6" s="10">
        <f t="shared" si="7"/>
        <v>26.206000000000003</v>
      </c>
      <c r="G6" s="10">
        <f t="shared" si="8"/>
        <v>81.09</v>
      </c>
      <c r="H6" s="10">
        <f t="shared" si="1"/>
        <v>54.932000000000002</v>
      </c>
      <c r="I6" s="10">
        <f t="shared" si="9"/>
        <v>92.350999999999999</v>
      </c>
      <c r="J6" s="10">
        <f t="shared" si="2"/>
        <v>92.350999999999999</v>
      </c>
      <c r="K6" s="58">
        <f t="shared" si="10"/>
        <v>190.47540000000001</v>
      </c>
      <c r="N6" s="17">
        <v>4</v>
      </c>
      <c r="O6" s="10">
        <v>81.09</v>
      </c>
      <c r="P6" s="10">
        <f t="shared" si="0"/>
        <v>44.444444444444443</v>
      </c>
      <c r="Q6" s="10">
        <f t="shared" si="3"/>
        <v>9.6058623124197435</v>
      </c>
      <c r="R6" s="58" t="str">
        <f t="shared" si="4"/>
        <v>9.60586231241974,44.4444444444444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14.673</v>
      </c>
      <c r="E7" s="10">
        <f t="shared" si="6"/>
        <v>28.405999999999999</v>
      </c>
      <c r="F7" s="10">
        <f t="shared" si="7"/>
        <v>28.405999999999999</v>
      </c>
      <c r="G7" s="10">
        <f t="shared" si="8"/>
        <v>109.49600000000001</v>
      </c>
      <c r="H7" s="10">
        <f t="shared" si="1"/>
        <v>73.364999999999995</v>
      </c>
      <c r="I7" s="10">
        <f t="shared" si="9"/>
        <v>128.297</v>
      </c>
      <c r="J7" s="10">
        <f t="shared" si="2"/>
        <v>128.297</v>
      </c>
      <c r="K7" s="58">
        <f t="shared" si="10"/>
        <v>318.7724</v>
      </c>
      <c r="N7" s="17">
        <v>5</v>
      </c>
      <c r="O7" s="10">
        <v>109.49600000000001</v>
      </c>
      <c r="P7" s="10">
        <f t="shared" si="0"/>
        <v>55.555555555555557</v>
      </c>
      <c r="Q7" s="10">
        <f t="shared" si="3"/>
        <v>12.970816373914321</v>
      </c>
      <c r="R7" s="58" t="str">
        <f t="shared" si="4"/>
        <v>12.9708163739143,55.5555555555556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15.329000000000001</v>
      </c>
      <c r="E8" s="10">
        <f t="shared" si="6"/>
        <v>30.002000000000002</v>
      </c>
      <c r="F8" s="10">
        <f t="shared" si="7"/>
        <v>30.002000000000002</v>
      </c>
      <c r="G8" s="10">
        <f t="shared" si="8"/>
        <v>139.49800000000002</v>
      </c>
      <c r="H8" s="10">
        <f t="shared" si="1"/>
        <v>91.974000000000004</v>
      </c>
      <c r="I8" s="10">
        <f t="shared" si="9"/>
        <v>165.339</v>
      </c>
      <c r="J8" s="10">
        <f t="shared" si="2"/>
        <v>165.339</v>
      </c>
      <c r="K8" s="58">
        <f t="shared" si="10"/>
        <v>484.1114</v>
      </c>
      <c r="N8" s="17">
        <v>6</v>
      </c>
      <c r="O8" s="10">
        <v>139.49800000000002</v>
      </c>
      <c r="P8" s="10">
        <f t="shared" si="0"/>
        <v>66.666666666666657</v>
      </c>
      <c r="Q8" s="10">
        <f t="shared" si="3"/>
        <v>16.524831432456896</v>
      </c>
      <c r="R8" s="58" t="str">
        <f t="shared" si="4"/>
        <v>16.5248314324569,66.6666666666667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15.733000000000001</v>
      </c>
      <c r="E9" s="10">
        <f t="shared" si="6"/>
        <v>31.062000000000001</v>
      </c>
      <c r="F9" s="10">
        <f t="shared" si="7"/>
        <v>31.062000000000001</v>
      </c>
      <c r="G9" s="10">
        <f t="shared" si="8"/>
        <v>170.56000000000003</v>
      </c>
      <c r="H9" s="10">
        <f t="shared" si="1"/>
        <v>110.131</v>
      </c>
      <c r="I9" s="10">
        <f t="shared" si="9"/>
        <v>202.10500000000002</v>
      </c>
      <c r="J9" s="10">
        <f t="shared" si="2"/>
        <v>202.10500000000002</v>
      </c>
      <c r="K9" s="58">
        <f t="shared" si="10"/>
        <v>686.21640000000002</v>
      </c>
      <c r="N9" s="17">
        <v>7</v>
      </c>
      <c r="O9" s="10">
        <v>170.56000000000003</v>
      </c>
      <c r="P9" s="10">
        <f t="shared" si="0"/>
        <v>77.777777777777771</v>
      </c>
      <c r="Q9" s="10">
        <f t="shared" si="3"/>
        <v>20.204413318612797</v>
      </c>
      <c r="R9" s="58" t="str">
        <f t="shared" si="4"/>
        <v>20.2044133186128,77.7777777777778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15.943</v>
      </c>
      <c r="E10" s="10">
        <f t="shared" si="6"/>
        <v>31.676000000000002</v>
      </c>
      <c r="F10" s="10">
        <f t="shared" si="7"/>
        <v>31.676000000000002</v>
      </c>
      <c r="G10" s="10">
        <f t="shared" si="8"/>
        <v>202.23600000000005</v>
      </c>
      <c r="H10" s="10">
        <f t="shared" si="1"/>
        <v>127.544</v>
      </c>
      <c r="I10" s="10">
        <f t="shared" si="9"/>
        <v>237.67500000000001</v>
      </c>
      <c r="J10" s="10">
        <f t="shared" si="2"/>
        <v>237.67500000000001</v>
      </c>
      <c r="K10" s="58">
        <f t="shared" si="10"/>
        <v>923.89139999999998</v>
      </c>
      <c r="N10" s="17">
        <v>8</v>
      </c>
      <c r="O10" s="10">
        <v>202.23600000000005</v>
      </c>
      <c r="P10" s="10">
        <f t="shared" si="0"/>
        <v>88.888888888888886</v>
      </c>
      <c r="Q10" s="10">
        <f t="shared" si="3"/>
        <v>23.956729197367366</v>
      </c>
      <c r="R10" s="58" t="str">
        <f t="shared" si="4"/>
        <v>23.9567291973674,88.8888888888889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16</v>
      </c>
      <c r="E11" s="10">
        <f t="shared" si="6"/>
        <v>31.942999999999998</v>
      </c>
      <c r="F11" s="10">
        <f t="shared" si="7"/>
        <v>31.942999999999998</v>
      </c>
      <c r="G11" s="10">
        <f t="shared" si="8"/>
        <v>234.17900000000003</v>
      </c>
      <c r="H11" s="10">
        <f t="shared" si="1"/>
        <v>144</v>
      </c>
      <c r="I11" s="10">
        <f t="shared" si="9"/>
        <v>271.54399999999998</v>
      </c>
      <c r="J11" s="10">
        <f t="shared" si="2"/>
        <v>271.54399999999998</v>
      </c>
      <c r="K11" s="58">
        <f t="shared" si="10"/>
        <v>1195.4353999999998</v>
      </c>
      <c r="N11" s="17">
        <v>9</v>
      </c>
      <c r="O11" s="10">
        <v>234.17900000000003</v>
      </c>
      <c r="P11" s="10">
        <f t="shared" si="0"/>
        <v>100</v>
      </c>
      <c r="Q11" s="10">
        <f t="shared" si="3"/>
        <v>27.740673701567932</v>
      </c>
      <c r="R11" s="58" t="str">
        <f t="shared" si="4"/>
        <v>27.7406737015679,100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16</v>
      </c>
      <c r="E12" s="10">
        <f t="shared" si="6"/>
        <v>32</v>
      </c>
      <c r="F12" s="10">
        <f t="shared" si="7"/>
        <v>32</v>
      </c>
      <c r="G12" s="10">
        <f t="shared" si="8"/>
        <v>266.17900000000003</v>
      </c>
      <c r="H12" s="10">
        <f t="shared" si="1"/>
        <v>160</v>
      </c>
      <c r="I12" s="10">
        <f t="shared" si="9"/>
        <v>304</v>
      </c>
      <c r="J12" s="10">
        <f t="shared" si="2"/>
        <v>304</v>
      </c>
      <c r="K12" s="58">
        <f t="shared" si="10"/>
        <v>1499.4353999999998</v>
      </c>
      <c r="N12" s="17">
        <v>10</v>
      </c>
      <c r="O12" s="10">
        <v>266.17900000000003</v>
      </c>
      <c r="P12" s="10">
        <f t="shared" si="0"/>
        <v>111.11111111111111</v>
      </c>
      <c r="Q12" s="10">
        <f t="shared" si="3"/>
        <v>31.531370384234496</v>
      </c>
      <c r="R12" s="58" t="str">
        <f t="shared" si="4"/>
        <v>31.5313703842345,111.111111111111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32</v>
      </c>
      <c r="F13" s="10">
        <f t="shared" si="7"/>
        <v>32</v>
      </c>
      <c r="G13" s="10">
        <f t="shared" si="8"/>
        <v>298.17900000000003</v>
      </c>
      <c r="H13" s="10">
        <f t="shared" si="1"/>
        <v>176</v>
      </c>
      <c r="I13" s="10">
        <f t="shared" si="9"/>
        <v>336</v>
      </c>
      <c r="J13" s="10">
        <f t="shared" si="2"/>
        <v>336</v>
      </c>
      <c r="K13" s="58">
        <f t="shared" si="10"/>
        <v>1835.4353999999998</v>
      </c>
      <c r="N13" s="17">
        <v>11</v>
      </c>
      <c r="O13" s="10">
        <v>298.17900000000003</v>
      </c>
      <c r="P13" s="10">
        <f t="shared" si="0"/>
        <v>122.22222222222221</v>
      </c>
      <c r="Q13" s="10">
        <f t="shared" si="3"/>
        <v>35.322067066901063</v>
      </c>
      <c r="R13" s="58" t="str">
        <f t="shared" si="4"/>
        <v>35.3220670669011,122.222222222222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330.17900000000003</v>
      </c>
      <c r="H14" s="10">
        <f t="shared" si="1"/>
        <v>192</v>
      </c>
      <c r="I14" s="10">
        <f t="shared" si="9"/>
        <v>368</v>
      </c>
      <c r="J14" s="10">
        <f t="shared" si="2"/>
        <v>368</v>
      </c>
      <c r="K14" s="58">
        <f t="shared" si="10"/>
        <v>2203.4353999999998</v>
      </c>
      <c r="N14" s="17">
        <v>12</v>
      </c>
      <c r="O14" s="10">
        <v>330.17900000000003</v>
      </c>
      <c r="P14" s="10">
        <f t="shared" si="0"/>
        <v>133.33333333333331</v>
      </c>
      <c r="Q14" s="10">
        <f t="shared" si="3"/>
        <v>39.112763749567627</v>
      </c>
      <c r="R14" s="58" t="str">
        <f t="shared" si="4"/>
        <v>39.1127637495676,133.333333333333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32</v>
      </c>
      <c r="F15" s="10">
        <f t="shared" si="7"/>
        <v>32</v>
      </c>
      <c r="G15" s="10">
        <f t="shared" si="8"/>
        <v>362.17900000000003</v>
      </c>
      <c r="H15" s="10">
        <f t="shared" si="1"/>
        <v>208</v>
      </c>
      <c r="I15" s="10">
        <f t="shared" si="9"/>
        <v>400</v>
      </c>
      <c r="J15" s="10">
        <f t="shared" si="2"/>
        <v>400</v>
      </c>
      <c r="K15" s="58">
        <f t="shared" si="10"/>
        <v>2603.4353999999998</v>
      </c>
      <c r="N15" s="17">
        <v>13</v>
      </c>
      <c r="O15" s="10">
        <v>362.17900000000003</v>
      </c>
      <c r="P15" s="10">
        <f t="shared" si="0"/>
        <v>144.44444444444443</v>
      </c>
      <c r="Q15" s="10">
        <f t="shared" si="3"/>
        <v>42.903460432234191</v>
      </c>
      <c r="R15" s="58" t="str">
        <f t="shared" si="4"/>
        <v>42.9034604322342,144.444444444444</v>
      </c>
    </row>
    <row r="16" spans="1:18" x14ac:dyDescent="0.25">
      <c r="A16" s="17" t="s">
        <v>154</v>
      </c>
      <c r="B16" s="10">
        <v>13.26</v>
      </c>
      <c r="C16" s="10">
        <f t="shared" si="5"/>
        <v>0.25999999999999979</v>
      </c>
      <c r="D16" s="10">
        <v>16</v>
      </c>
      <c r="E16" s="10">
        <f t="shared" si="6"/>
        <v>32</v>
      </c>
      <c r="F16" s="10">
        <f t="shared" si="7"/>
        <v>8.3199999999999932</v>
      </c>
      <c r="G16" s="10">
        <f t="shared" si="8"/>
        <v>370.49900000000002</v>
      </c>
      <c r="H16" s="10">
        <f t="shared" si="1"/>
        <v>212.16</v>
      </c>
      <c r="I16" s="10">
        <f t="shared" si="9"/>
        <v>420.15999999999997</v>
      </c>
      <c r="J16" s="10">
        <f t="shared" si="2"/>
        <v>109.24159999999991</v>
      </c>
      <c r="K16" s="58">
        <f t="shared" si="10"/>
        <v>2712.6769999999997</v>
      </c>
      <c r="N16" s="17">
        <v>13.26</v>
      </c>
      <c r="O16" s="10">
        <v>370.49900000000002</v>
      </c>
      <c r="P16" s="10">
        <f t="shared" si="0"/>
        <v>147.33333333333331</v>
      </c>
      <c r="Q16" s="10">
        <f t="shared" si="3"/>
        <v>43.889041569727496</v>
      </c>
      <c r="R16" s="58" t="str">
        <f t="shared" si="4"/>
        <v>43.8890415697275,147.333333333333</v>
      </c>
    </row>
    <row r="17" spans="1:21" ht="15.75" thickBot="1" x14ac:dyDescent="0.3">
      <c r="A17" s="19" t="s">
        <v>5</v>
      </c>
      <c r="B17" s="34">
        <v>13.87</v>
      </c>
      <c r="C17" s="34">
        <f t="shared" si="5"/>
        <v>0.60999999999999943</v>
      </c>
      <c r="D17" s="34">
        <v>16</v>
      </c>
      <c r="E17" s="34">
        <f t="shared" si="6"/>
        <v>32</v>
      </c>
      <c r="F17" s="34">
        <f t="shared" si="7"/>
        <v>19.519999999999982</v>
      </c>
      <c r="G17" s="34">
        <f t="shared" si="8"/>
        <v>390.01900000000001</v>
      </c>
      <c r="H17" s="34">
        <f t="shared" si="1"/>
        <v>221.92</v>
      </c>
      <c r="I17" s="34">
        <f t="shared" si="9"/>
        <v>434.08</v>
      </c>
      <c r="J17" s="34">
        <f t="shared" si="2"/>
        <v>264.78879999999975</v>
      </c>
      <c r="K17" s="59">
        <f t="shared" si="10"/>
        <v>2977.4657999999995</v>
      </c>
      <c r="N17" s="19">
        <v>13.87</v>
      </c>
      <c r="O17" s="34">
        <v>390.01900000000001</v>
      </c>
      <c r="P17" s="34">
        <f t="shared" si="0"/>
        <v>154.11111111111109</v>
      </c>
      <c r="Q17" s="34">
        <f t="shared" si="3"/>
        <v>46.201366546154105</v>
      </c>
      <c r="R17" s="59" t="str">
        <f t="shared" si="4"/>
        <v>46.2013665461541,154.111111111111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8.6426999999999996</v>
      </c>
      <c r="P25" s="10">
        <f t="shared" ref="P25:P39" si="11">N25*$O$21</f>
        <v>11.111111111111111</v>
      </c>
      <c r="Q25" s="10">
        <f t="shared" ref="Q25:Q39" si="12">O25*$U$21</f>
        <v>0.15021793567424904</v>
      </c>
      <c r="R25" s="58" t="str">
        <f t="shared" ref="R25:R39" si="13">CONCATENATE(Q25,",",P25)</f>
        <v>0.150217935674249,11.1111111111111</v>
      </c>
    </row>
    <row r="26" spans="1:21" x14ac:dyDescent="0.25">
      <c r="N26" s="17">
        <v>2</v>
      </c>
      <c r="O26" s="10">
        <v>38.995399999999997</v>
      </c>
      <c r="P26" s="10">
        <f t="shared" si="11"/>
        <v>22.222222222222221</v>
      </c>
      <c r="Q26" s="10">
        <f t="shared" si="12"/>
        <v>0.67777528883238003</v>
      </c>
      <c r="R26" s="58" t="str">
        <f t="shared" si="13"/>
        <v>0.67777528883238,22.2222222222222</v>
      </c>
    </row>
    <row r="27" spans="1:21" x14ac:dyDescent="0.25">
      <c r="N27" s="17">
        <v>3</v>
      </c>
      <c r="O27" s="10">
        <v>98.124400000000009</v>
      </c>
      <c r="P27" s="10">
        <f t="shared" si="11"/>
        <v>33.333333333333329</v>
      </c>
      <c r="Q27" s="10">
        <f t="shared" si="12"/>
        <v>1.7054907386897942</v>
      </c>
      <c r="R27" s="58" t="str">
        <f t="shared" si="13"/>
        <v>1.70549073868979,33.3333333333333</v>
      </c>
    </row>
    <row r="28" spans="1:21" x14ac:dyDescent="0.25">
      <c r="N28" s="17">
        <v>4</v>
      </c>
      <c r="O28" s="10">
        <v>190.47540000000001</v>
      </c>
      <c r="P28" s="10">
        <f t="shared" si="11"/>
        <v>44.444444444444443</v>
      </c>
      <c r="Q28" s="10">
        <f t="shared" si="12"/>
        <v>3.3106345684481537</v>
      </c>
      <c r="R28" s="58" t="str">
        <f t="shared" si="13"/>
        <v>3.31063456844815,44.4444444444444</v>
      </c>
    </row>
    <row r="29" spans="1:21" x14ac:dyDescent="0.25">
      <c r="N29" s="17">
        <v>5</v>
      </c>
      <c r="O29" s="10">
        <v>318.7724</v>
      </c>
      <c r="P29" s="10">
        <f t="shared" si="11"/>
        <v>55.555555555555557</v>
      </c>
      <c r="Q29" s="10">
        <f t="shared" si="12"/>
        <v>5.540552359554999</v>
      </c>
      <c r="R29" s="58" t="str">
        <f t="shared" si="13"/>
        <v>5.540552359555,55.5555555555556</v>
      </c>
    </row>
    <row r="30" spans="1:21" x14ac:dyDescent="0.25">
      <c r="N30" s="17">
        <v>6</v>
      </c>
      <c r="O30" s="10">
        <v>484.1114</v>
      </c>
      <c r="P30" s="10">
        <f t="shared" si="11"/>
        <v>66.666666666666657</v>
      </c>
      <c r="Q30" s="10">
        <f t="shared" si="12"/>
        <v>8.4142935823724816</v>
      </c>
      <c r="R30" s="58" t="str">
        <f t="shared" si="13"/>
        <v>8.41429358237248,66.6666666666667</v>
      </c>
    </row>
    <row r="31" spans="1:21" x14ac:dyDescent="0.25">
      <c r="N31" s="17">
        <v>7</v>
      </c>
      <c r="O31" s="10">
        <v>686.21640000000002</v>
      </c>
      <c r="P31" s="10">
        <f t="shared" si="11"/>
        <v>77.777777777777771</v>
      </c>
      <c r="Q31" s="10">
        <f t="shared" si="12"/>
        <v>11.927061107502835</v>
      </c>
      <c r="R31" s="58" t="str">
        <f t="shared" si="13"/>
        <v>11.9270611075028,77.7777777777778</v>
      </c>
    </row>
    <row r="32" spans="1:21" x14ac:dyDescent="0.25">
      <c r="N32" s="17">
        <v>8</v>
      </c>
      <c r="O32" s="10">
        <v>923.89139999999998</v>
      </c>
      <c r="P32" s="10">
        <f t="shared" si="11"/>
        <v>88.888888888888886</v>
      </c>
      <c r="Q32" s="10">
        <f t="shared" si="12"/>
        <v>16.058067374222393</v>
      </c>
      <c r="R32" s="58" t="str">
        <f t="shared" si="13"/>
        <v>16.0580673742224,88.8888888888889</v>
      </c>
    </row>
    <row r="33" spans="14:18" x14ac:dyDescent="0.25">
      <c r="N33" s="17">
        <v>9</v>
      </c>
      <c r="O33" s="10">
        <v>1195.4353999999998</v>
      </c>
      <c r="P33" s="10">
        <f t="shared" si="11"/>
        <v>100</v>
      </c>
      <c r="Q33" s="10">
        <f t="shared" si="12"/>
        <v>20.77774746548187</v>
      </c>
      <c r="R33" s="58" t="str">
        <f t="shared" si="13"/>
        <v>20.7777474654819,100</v>
      </c>
    </row>
    <row r="34" spans="14:18" x14ac:dyDescent="0.25">
      <c r="N34" s="17">
        <v>10</v>
      </c>
      <c r="O34" s="10">
        <v>1499.4353999999998</v>
      </c>
      <c r="P34" s="10">
        <f t="shared" si="11"/>
        <v>111.11111111111111</v>
      </c>
      <c r="Q34" s="10">
        <f t="shared" si="12"/>
        <v>26.061542164473124</v>
      </c>
      <c r="R34" s="58" t="str">
        <f t="shared" si="13"/>
        <v>26.0615421644731,111.111111111111</v>
      </c>
    </row>
    <row r="35" spans="14:18" x14ac:dyDescent="0.25">
      <c r="N35" s="17">
        <v>11</v>
      </c>
      <c r="O35" s="10">
        <v>1835.4353999999998</v>
      </c>
      <c r="P35" s="10">
        <f t="shared" si="11"/>
        <v>122.22222222222221</v>
      </c>
      <c r="Q35" s="10">
        <f t="shared" si="12"/>
        <v>31.901525779147669</v>
      </c>
      <c r="R35" s="58" t="str">
        <f t="shared" si="13"/>
        <v>31.9015257791477,122.222222222222</v>
      </c>
    </row>
    <row r="36" spans="14:18" x14ac:dyDescent="0.25">
      <c r="N36" s="17">
        <v>12</v>
      </c>
      <c r="O36" s="10">
        <v>2203.4353999999998</v>
      </c>
      <c r="P36" s="10">
        <f t="shared" si="11"/>
        <v>133.33333333333331</v>
      </c>
      <c r="Q36" s="10">
        <f t="shared" si="12"/>
        <v>38.297698309505499</v>
      </c>
      <c r="R36" s="58" t="str">
        <f t="shared" si="13"/>
        <v>38.2976983095055,133.333333333333</v>
      </c>
    </row>
    <row r="37" spans="14:18" x14ac:dyDescent="0.25">
      <c r="N37" s="17">
        <v>13</v>
      </c>
      <c r="O37" s="10">
        <v>2603.4353999999998</v>
      </c>
      <c r="P37" s="10">
        <f t="shared" si="11"/>
        <v>144.44444444444443</v>
      </c>
      <c r="Q37" s="10">
        <f t="shared" si="12"/>
        <v>45.250059755546623</v>
      </c>
      <c r="R37" s="58" t="str">
        <f t="shared" si="13"/>
        <v>45.2500597555466,144.444444444444</v>
      </c>
    </row>
    <row r="38" spans="14:18" x14ac:dyDescent="0.25">
      <c r="N38" s="17">
        <v>13.26</v>
      </c>
      <c r="O38" s="10">
        <v>2712.6769999999997</v>
      </c>
      <c r="P38" s="10">
        <f t="shared" si="11"/>
        <v>147.33333333333331</v>
      </c>
      <c r="Q38" s="10">
        <f t="shared" si="12"/>
        <v>47.148777475906236</v>
      </c>
      <c r="R38" s="58" t="str">
        <f t="shared" si="13"/>
        <v>47.1487774759062,147.333333333333</v>
      </c>
    </row>
    <row r="39" spans="14:18" ht="15.75" thickBot="1" x14ac:dyDescent="0.3">
      <c r="N39" s="19">
        <v>13.87</v>
      </c>
      <c r="O39" s="34">
        <v>2977.4657999999995</v>
      </c>
      <c r="P39" s="34">
        <f t="shared" si="11"/>
        <v>154.11111111111109</v>
      </c>
      <c r="Q39" s="34">
        <f t="shared" si="12"/>
        <v>51.751046087064964</v>
      </c>
      <c r="R39" s="59" t="str">
        <f t="shared" si="13"/>
        <v>51.751046087065,154.111111111111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DD75-7A9C-4FFF-9E85-4FA125B586C9}">
  <dimension ref="A1:U39"/>
  <sheetViews>
    <sheetView zoomScale="85" zoomScaleNormal="85" workbookViewId="0">
      <selection activeCell="U39" sqref="U39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2.7109375" style="4" customWidth="1"/>
    <col min="16" max="16" width="16.42578125" style="4" customWidth="1"/>
    <col min="17" max="17" width="16.85546875" style="4" customWidth="1"/>
    <col min="18" max="18" width="39.57031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6.5143000000000004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11.4</v>
      </c>
      <c r="E3" s="10">
        <f>D3+D2</f>
        <v>17.914300000000001</v>
      </c>
      <c r="F3" s="10">
        <f>C3*E3</f>
        <v>17.914300000000001</v>
      </c>
      <c r="G3" s="10">
        <f>G2+F3</f>
        <v>17.914300000000001</v>
      </c>
      <c r="H3" s="10">
        <f t="shared" ref="H3:H17" si="1">B3*D3</f>
        <v>11.4</v>
      </c>
      <c r="I3" s="10">
        <f>H3+H2</f>
        <v>11.4</v>
      </c>
      <c r="J3" s="10">
        <f t="shared" ref="J3:J17" si="2">C3*I3</f>
        <v>11.4</v>
      </c>
      <c r="K3" s="58">
        <f>K2+J3</f>
        <v>11.4</v>
      </c>
      <c r="N3" s="17">
        <v>1</v>
      </c>
      <c r="O3" s="10">
        <v>17.914300000000001</v>
      </c>
      <c r="P3" s="10">
        <f t="shared" si="0"/>
        <v>11.111111111111111</v>
      </c>
      <c r="Q3" s="10">
        <f t="shared" ref="Q3:Q17" si="3">O3*$R$21</f>
        <v>2.1221149244466768</v>
      </c>
      <c r="R3" s="58" t="str">
        <f t="shared" ref="R3:R17" si="4">CONCATENATE(Q3,",",P3)</f>
        <v>2.12211492444668,11.1111111111111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13.143000000000001</v>
      </c>
      <c r="E4" s="10">
        <f t="shared" ref="E4:E17" si="6">D4+D3</f>
        <v>24.542999999999999</v>
      </c>
      <c r="F4" s="10">
        <f t="shared" ref="F4:F17" si="7">C4*E4</f>
        <v>24.542999999999999</v>
      </c>
      <c r="G4" s="10">
        <f t="shared" ref="G4:G17" si="8">G3+F4</f>
        <v>42.457300000000004</v>
      </c>
      <c r="H4" s="10">
        <f t="shared" si="1"/>
        <v>26.286000000000001</v>
      </c>
      <c r="I4" s="10">
        <f t="shared" ref="I4:I17" si="9">H4+H3</f>
        <v>37.686</v>
      </c>
      <c r="J4" s="10">
        <f t="shared" si="2"/>
        <v>37.686</v>
      </c>
      <c r="K4" s="58">
        <f t="shared" ref="K4:K17" si="10">K3+J4</f>
        <v>49.085999999999999</v>
      </c>
      <c r="N4" s="17">
        <v>2</v>
      </c>
      <c r="O4" s="10">
        <v>42.457300000000004</v>
      </c>
      <c r="P4" s="10">
        <f t="shared" si="0"/>
        <v>22.222222222222221</v>
      </c>
      <c r="Q4" s="10">
        <f t="shared" si="3"/>
        <v>5.0294608207805993</v>
      </c>
      <c r="R4" s="58" t="str">
        <f t="shared" si="4"/>
        <v>5.0294608207806,22.2222222222222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14.269</v>
      </c>
      <c r="E5" s="10">
        <f t="shared" si="6"/>
        <v>27.411999999999999</v>
      </c>
      <c r="F5" s="10">
        <f t="shared" si="7"/>
        <v>27.411999999999999</v>
      </c>
      <c r="G5" s="10">
        <f t="shared" si="8"/>
        <v>69.86930000000001</v>
      </c>
      <c r="H5" s="10">
        <f t="shared" si="1"/>
        <v>42.807000000000002</v>
      </c>
      <c r="I5" s="10">
        <f t="shared" si="9"/>
        <v>69.093000000000004</v>
      </c>
      <c r="J5" s="10">
        <f t="shared" si="2"/>
        <v>69.093000000000004</v>
      </c>
      <c r="K5" s="58">
        <f t="shared" si="10"/>
        <v>118.179</v>
      </c>
      <c r="N5" s="17">
        <v>3</v>
      </c>
      <c r="O5" s="10">
        <v>69.86930000000001</v>
      </c>
      <c r="P5" s="10">
        <f t="shared" si="0"/>
        <v>33.333333333333329</v>
      </c>
      <c r="Q5" s="10">
        <f t="shared" si="3"/>
        <v>8.276666366569847</v>
      </c>
      <c r="R5" s="58" t="str">
        <f t="shared" si="4"/>
        <v>8.27666636656985,33.3333333333333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15.048999999999999</v>
      </c>
      <c r="E6" s="10">
        <f t="shared" si="6"/>
        <v>29.317999999999998</v>
      </c>
      <c r="F6" s="10">
        <f t="shared" si="7"/>
        <v>29.317999999999998</v>
      </c>
      <c r="G6" s="10">
        <f t="shared" si="8"/>
        <v>99.187300000000008</v>
      </c>
      <c r="H6" s="10">
        <f t="shared" si="1"/>
        <v>60.195999999999998</v>
      </c>
      <c r="I6" s="10">
        <f t="shared" si="9"/>
        <v>103.003</v>
      </c>
      <c r="J6" s="10">
        <f t="shared" si="2"/>
        <v>103.003</v>
      </c>
      <c r="K6" s="58">
        <f t="shared" si="10"/>
        <v>221.18200000000002</v>
      </c>
      <c r="N6" s="17">
        <v>4</v>
      </c>
      <c r="O6" s="10">
        <v>99.187300000000008</v>
      </c>
      <c r="P6" s="10">
        <f t="shared" si="0"/>
        <v>44.444444444444443</v>
      </c>
      <c r="Q6" s="10">
        <f t="shared" si="3"/>
        <v>11.74965528352042</v>
      </c>
      <c r="R6" s="58" t="str">
        <f t="shared" si="4"/>
        <v>11.7496552835204,44.4444444444444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15.568</v>
      </c>
      <c r="E7" s="10">
        <f t="shared" si="6"/>
        <v>30.616999999999997</v>
      </c>
      <c r="F7" s="10">
        <f t="shared" si="7"/>
        <v>30.616999999999997</v>
      </c>
      <c r="G7" s="10">
        <f t="shared" si="8"/>
        <v>129.80430000000001</v>
      </c>
      <c r="H7" s="10">
        <f t="shared" si="1"/>
        <v>77.84</v>
      </c>
      <c r="I7" s="10">
        <f t="shared" si="9"/>
        <v>138.036</v>
      </c>
      <c r="J7" s="10">
        <f t="shared" si="2"/>
        <v>138.036</v>
      </c>
      <c r="K7" s="58">
        <f t="shared" si="10"/>
        <v>359.21800000000002</v>
      </c>
      <c r="N7" s="17">
        <v>5</v>
      </c>
      <c r="O7" s="10">
        <v>129.80430000000001</v>
      </c>
      <c r="P7" s="10">
        <f t="shared" si="0"/>
        <v>55.555555555555557</v>
      </c>
      <c r="Q7" s="10">
        <f t="shared" si="3"/>
        <v>15.376522793932992</v>
      </c>
      <c r="R7" s="58" t="str">
        <f t="shared" si="4"/>
        <v>15.376522793933,55.5555555555556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15.882</v>
      </c>
      <c r="E8" s="10">
        <f t="shared" si="6"/>
        <v>31.45</v>
      </c>
      <c r="F8" s="10">
        <f t="shared" si="7"/>
        <v>31.45</v>
      </c>
      <c r="G8" s="10">
        <f t="shared" si="8"/>
        <v>161.2543</v>
      </c>
      <c r="H8" s="10">
        <f t="shared" si="1"/>
        <v>95.292000000000002</v>
      </c>
      <c r="I8" s="10">
        <f t="shared" si="9"/>
        <v>173.13200000000001</v>
      </c>
      <c r="J8" s="10">
        <f t="shared" si="2"/>
        <v>173.13200000000001</v>
      </c>
      <c r="K8" s="58">
        <f t="shared" si="10"/>
        <v>532.35</v>
      </c>
      <c r="N8" s="17">
        <v>6</v>
      </c>
      <c r="O8" s="10">
        <v>161.2543</v>
      </c>
      <c r="P8" s="10">
        <f t="shared" si="0"/>
        <v>66.666666666666657</v>
      </c>
      <c r="Q8" s="10">
        <f t="shared" si="3"/>
        <v>19.102066877366223</v>
      </c>
      <c r="R8" s="58" t="str">
        <f t="shared" si="4"/>
        <v>19.1020668773662,66.6666666666667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15.997999999999999</v>
      </c>
      <c r="E9" s="10">
        <f t="shared" si="6"/>
        <v>31.88</v>
      </c>
      <c r="F9" s="10">
        <f t="shared" si="7"/>
        <v>31.88</v>
      </c>
      <c r="G9" s="10">
        <f t="shared" si="8"/>
        <v>193.1343</v>
      </c>
      <c r="H9" s="10">
        <f t="shared" si="1"/>
        <v>111.98599999999999</v>
      </c>
      <c r="I9" s="10">
        <f t="shared" si="9"/>
        <v>207.27799999999999</v>
      </c>
      <c r="J9" s="10">
        <f t="shared" si="2"/>
        <v>207.27799999999999</v>
      </c>
      <c r="K9" s="58">
        <f t="shared" si="10"/>
        <v>739.62800000000004</v>
      </c>
      <c r="N9" s="17">
        <v>7</v>
      </c>
      <c r="O9" s="10">
        <v>193.1343</v>
      </c>
      <c r="P9" s="10">
        <f t="shared" si="0"/>
        <v>77.777777777777771</v>
      </c>
      <c r="Q9" s="10">
        <f t="shared" si="3"/>
        <v>22.878548447472788</v>
      </c>
      <c r="R9" s="58" t="str">
        <f t="shared" si="4"/>
        <v>22.8785484474728,77.7777777777778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16</v>
      </c>
      <c r="E10" s="10">
        <f t="shared" si="6"/>
        <v>31.997999999999998</v>
      </c>
      <c r="F10" s="10">
        <f t="shared" si="7"/>
        <v>31.997999999999998</v>
      </c>
      <c r="G10" s="10">
        <f t="shared" si="8"/>
        <v>225.13229999999999</v>
      </c>
      <c r="H10" s="10">
        <f t="shared" si="1"/>
        <v>128</v>
      </c>
      <c r="I10" s="10">
        <f t="shared" si="9"/>
        <v>239.98599999999999</v>
      </c>
      <c r="J10" s="10">
        <f t="shared" si="2"/>
        <v>239.98599999999999</v>
      </c>
      <c r="K10" s="58">
        <f t="shared" si="10"/>
        <v>979.61400000000003</v>
      </c>
      <c r="N10" s="17">
        <v>8</v>
      </c>
      <c r="O10" s="10">
        <v>225.13229999999999</v>
      </c>
      <c r="P10" s="10">
        <f t="shared" si="0"/>
        <v>88.888888888888886</v>
      </c>
      <c r="Q10" s="10">
        <f t="shared" si="3"/>
        <v>26.669008211596687</v>
      </c>
      <c r="R10" s="58" t="str">
        <f t="shared" si="4"/>
        <v>26.6690082115967,88.8888888888889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16</v>
      </c>
      <c r="E11" s="10">
        <f t="shared" si="6"/>
        <v>32</v>
      </c>
      <c r="F11" s="10">
        <f t="shared" si="7"/>
        <v>32</v>
      </c>
      <c r="G11" s="10">
        <f t="shared" si="8"/>
        <v>257.13229999999999</v>
      </c>
      <c r="H11" s="10">
        <f t="shared" si="1"/>
        <v>144</v>
      </c>
      <c r="I11" s="10">
        <f t="shared" si="9"/>
        <v>272</v>
      </c>
      <c r="J11" s="10">
        <f t="shared" si="2"/>
        <v>272</v>
      </c>
      <c r="K11" s="58">
        <f t="shared" si="10"/>
        <v>1251.614</v>
      </c>
      <c r="N11" s="17">
        <v>9</v>
      </c>
      <c r="O11" s="10">
        <v>257.13229999999999</v>
      </c>
      <c r="P11" s="10">
        <f t="shared" si="0"/>
        <v>100</v>
      </c>
      <c r="Q11" s="10">
        <f t="shared" si="3"/>
        <v>30.459704894263254</v>
      </c>
      <c r="R11" s="58" t="str">
        <f t="shared" si="4"/>
        <v>30.4597048942633,100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16</v>
      </c>
      <c r="E12" s="10">
        <f t="shared" si="6"/>
        <v>32</v>
      </c>
      <c r="F12" s="10">
        <f t="shared" si="7"/>
        <v>32</v>
      </c>
      <c r="G12" s="10">
        <f t="shared" si="8"/>
        <v>289.13229999999999</v>
      </c>
      <c r="H12" s="10">
        <f t="shared" si="1"/>
        <v>160</v>
      </c>
      <c r="I12" s="10">
        <f t="shared" si="9"/>
        <v>304</v>
      </c>
      <c r="J12" s="10">
        <f t="shared" si="2"/>
        <v>304</v>
      </c>
      <c r="K12" s="58">
        <f t="shared" si="10"/>
        <v>1555.614</v>
      </c>
      <c r="N12" s="17">
        <v>10</v>
      </c>
      <c r="O12" s="10">
        <v>289.13229999999999</v>
      </c>
      <c r="P12" s="10">
        <f t="shared" si="0"/>
        <v>111.11111111111111</v>
      </c>
      <c r="Q12" s="10">
        <f t="shared" si="3"/>
        <v>34.250401576929818</v>
      </c>
      <c r="R12" s="58" t="str">
        <f t="shared" si="4"/>
        <v>34.2504015769298,111.111111111111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32</v>
      </c>
      <c r="F13" s="10">
        <f t="shared" si="7"/>
        <v>32</v>
      </c>
      <c r="G13" s="10">
        <f t="shared" si="8"/>
        <v>321.13229999999999</v>
      </c>
      <c r="H13" s="10">
        <f t="shared" si="1"/>
        <v>176</v>
      </c>
      <c r="I13" s="10">
        <f t="shared" si="9"/>
        <v>336</v>
      </c>
      <c r="J13" s="10">
        <f t="shared" si="2"/>
        <v>336</v>
      </c>
      <c r="K13" s="58">
        <f t="shared" si="10"/>
        <v>1891.614</v>
      </c>
      <c r="N13" s="17">
        <v>11</v>
      </c>
      <c r="O13" s="10">
        <v>321.13229999999999</v>
      </c>
      <c r="P13" s="10">
        <f t="shared" si="0"/>
        <v>122.22222222222221</v>
      </c>
      <c r="Q13" s="10">
        <f t="shared" si="3"/>
        <v>38.041098259596382</v>
      </c>
      <c r="R13" s="58" t="str">
        <f t="shared" si="4"/>
        <v>38.0410982595964,122.222222222222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353.13229999999999</v>
      </c>
      <c r="H14" s="10">
        <f t="shared" si="1"/>
        <v>192</v>
      </c>
      <c r="I14" s="10">
        <f t="shared" si="9"/>
        <v>368</v>
      </c>
      <c r="J14" s="10">
        <f t="shared" si="2"/>
        <v>368</v>
      </c>
      <c r="K14" s="58">
        <f t="shared" si="10"/>
        <v>2259.614</v>
      </c>
      <c r="N14" s="17">
        <v>12</v>
      </c>
      <c r="O14" s="10">
        <v>353.13229999999999</v>
      </c>
      <c r="P14" s="10">
        <f t="shared" si="0"/>
        <v>133.33333333333331</v>
      </c>
      <c r="Q14" s="10">
        <f t="shared" si="3"/>
        <v>41.831794942262952</v>
      </c>
      <c r="R14" s="58" t="str">
        <f t="shared" si="4"/>
        <v>41.831794942263,133.333333333333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32</v>
      </c>
      <c r="F15" s="10">
        <f t="shared" si="7"/>
        <v>32</v>
      </c>
      <c r="G15" s="10">
        <f t="shared" si="8"/>
        <v>385.13229999999999</v>
      </c>
      <c r="H15" s="10">
        <f t="shared" si="1"/>
        <v>208</v>
      </c>
      <c r="I15" s="10">
        <f t="shared" si="9"/>
        <v>400</v>
      </c>
      <c r="J15" s="10">
        <f t="shared" si="2"/>
        <v>400</v>
      </c>
      <c r="K15" s="58">
        <f t="shared" si="10"/>
        <v>2659.614</v>
      </c>
      <c r="N15" s="17">
        <v>13</v>
      </c>
      <c r="O15" s="10">
        <v>385.13229999999999</v>
      </c>
      <c r="P15" s="10">
        <f t="shared" si="0"/>
        <v>144.44444444444443</v>
      </c>
      <c r="Q15" s="10">
        <f t="shared" si="3"/>
        <v>45.622491624929516</v>
      </c>
      <c r="R15" s="58" t="str">
        <f t="shared" si="4"/>
        <v>45.6224916249295,144.444444444444</v>
      </c>
    </row>
    <row r="16" spans="1:18" x14ac:dyDescent="0.25">
      <c r="A16" s="17" t="s">
        <v>154</v>
      </c>
      <c r="B16" s="10">
        <v>13.07</v>
      </c>
      <c r="C16" s="10">
        <f t="shared" si="5"/>
        <v>7.0000000000000284E-2</v>
      </c>
      <c r="D16" s="10">
        <v>16</v>
      </c>
      <c r="E16" s="10">
        <f t="shared" si="6"/>
        <v>32</v>
      </c>
      <c r="F16" s="10">
        <f t="shared" si="7"/>
        <v>2.2400000000000091</v>
      </c>
      <c r="G16" s="10">
        <f t="shared" si="8"/>
        <v>387.3723</v>
      </c>
      <c r="H16" s="10">
        <f t="shared" si="1"/>
        <v>209.12</v>
      </c>
      <c r="I16" s="10">
        <f t="shared" si="9"/>
        <v>417.12</v>
      </c>
      <c r="J16" s="10">
        <f t="shared" si="2"/>
        <v>29.19840000000012</v>
      </c>
      <c r="K16" s="58">
        <f t="shared" si="10"/>
        <v>2688.8124000000003</v>
      </c>
      <c r="N16" s="17">
        <v>13.07</v>
      </c>
      <c r="O16" s="10">
        <v>387.3723</v>
      </c>
      <c r="P16" s="10">
        <f t="shared" si="0"/>
        <v>145.22222222222223</v>
      </c>
      <c r="Q16" s="10">
        <f t="shared" si="3"/>
        <v>45.887840392716178</v>
      </c>
      <c r="R16" s="58" t="str">
        <f t="shared" si="4"/>
        <v>45.8878403927162,145.222222222222</v>
      </c>
    </row>
    <row r="17" spans="1:21" ht="15.75" thickBot="1" x14ac:dyDescent="0.3">
      <c r="A17" s="19" t="s">
        <v>5</v>
      </c>
      <c r="B17" s="34">
        <v>13.67</v>
      </c>
      <c r="C17" s="34">
        <f t="shared" si="5"/>
        <v>0.59999999999999964</v>
      </c>
      <c r="D17" s="34">
        <v>16</v>
      </c>
      <c r="E17" s="34">
        <f t="shared" si="6"/>
        <v>32</v>
      </c>
      <c r="F17" s="34">
        <f t="shared" si="7"/>
        <v>19.199999999999989</v>
      </c>
      <c r="G17" s="34">
        <f t="shared" si="8"/>
        <v>406.57229999999998</v>
      </c>
      <c r="H17" s="34">
        <f t="shared" si="1"/>
        <v>218.72</v>
      </c>
      <c r="I17" s="34">
        <f t="shared" si="9"/>
        <v>427.84000000000003</v>
      </c>
      <c r="J17" s="34">
        <f t="shared" si="2"/>
        <v>256.70399999999989</v>
      </c>
      <c r="K17" s="59">
        <f t="shared" si="10"/>
        <v>2945.5164</v>
      </c>
      <c r="N17" s="19">
        <v>13.67</v>
      </c>
      <c r="O17" s="34">
        <v>406.57229999999998</v>
      </c>
      <c r="P17" s="34">
        <f t="shared" si="0"/>
        <v>151.88888888888889</v>
      </c>
      <c r="Q17" s="34">
        <f t="shared" si="3"/>
        <v>48.162258402316112</v>
      </c>
      <c r="R17" s="59" t="str">
        <f t="shared" si="4"/>
        <v>48.1622584023161,151.888888888889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11.4</v>
      </c>
      <c r="P25" s="10">
        <f t="shared" ref="P25:P39" si="11">N25*$O$21</f>
        <v>11.111111111111111</v>
      </c>
      <c r="Q25" s="10">
        <f t="shared" ref="Q25:Q39" si="12">O25*$U$21</f>
        <v>0.19814230121217202</v>
      </c>
      <c r="R25" s="58" t="str">
        <f t="shared" ref="R25:R39" si="13">CONCATENATE(Q25,",",P25)</f>
        <v>0.198142301212172,11.1111111111111</v>
      </c>
    </row>
    <row r="26" spans="1:21" x14ac:dyDescent="0.25">
      <c r="N26" s="17">
        <v>2</v>
      </c>
      <c r="O26" s="10">
        <v>49.085999999999999</v>
      </c>
      <c r="P26" s="10">
        <f t="shared" si="11"/>
        <v>22.222222222222221</v>
      </c>
      <c r="Q26" s="10">
        <f t="shared" si="12"/>
        <v>0.85315903485093647</v>
      </c>
      <c r="R26" s="58" t="str">
        <f t="shared" si="13"/>
        <v>0.853159034850936,22.2222222222222</v>
      </c>
    </row>
    <row r="27" spans="1:21" x14ac:dyDescent="0.25">
      <c r="N27" s="17">
        <v>3</v>
      </c>
      <c r="O27" s="10">
        <v>118.179</v>
      </c>
      <c r="P27" s="10">
        <f t="shared" si="11"/>
        <v>33.333333333333329</v>
      </c>
      <c r="Q27" s="10">
        <f t="shared" si="12"/>
        <v>2.0540578083292349</v>
      </c>
      <c r="R27" s="58" t="str">
        <f t="shared" si="13"/>
        <v>2.05405780832923,33.3333333333333</v>
      </c>
    </row>
    <row r="28" spans="1:21" x14ac:dyDescent="0.25">
      <c r="N28" s="17">
        <v>4</v>
      </c>
      <c r="O28" s="10">
        <v>221.18200000000002</v>
      </c>
      <c r="P28" s="10">
        <f t="shared" si="11"/>
        <v>44.444444444444443</v>
      </c>
      <c r="Q28" s="10">
        <f t="shared" si="12"/>
        <v>3.8443430233956697</v>
      </c>
      <c r="R28" s="58" t="str">
        <f t="shared" si="13"/>
        <v>3.84434302339567,44.4444444444444</v>
      </c>
    </row>
    <row r="29" spans="1:21" x14ac:dyDescent="0.25">
      <c r="N29" s="17">
        <v>5</v>
      </c>
      <c r="O29" s="10">
        <v>359.21800000000002</v>
      </c>
      <c r="P29" s="10">
        <f t="shared" si="11"/>
        <v>55.555555555555557</v>
      </c>
      <c r="Q29" s="10">
        <f t="shared" si="12"/>
        <v>6.2435334348100007</v>
      </c>
      <c r="R29" s="58" t="str">
        <f t="shared" si="13"/>
        <v>6.24353343481,55.5555555555556</v>
      </c>
    </row>
    <row r="30" spans="1:21" x14ac:dyDescent="0.25">
      <c r="N30" s="17">
        <v>6</v>
      </c>
      <c r="O30" s="10">
        <v>532.35</v>
      </c>
      <c r="P30" s="10">
        <f t="shared" si="11"/>
        <v>66.666666666666657</v>
      </c>
      <c r="Q30" s="10">
        <f t="shared" si="12"/>
        <v>9.2527240394999808</v>
      </c>
      <c r="R30" s="58" t="str">
        <f t="shared" si="13"/>
        <v>9.25272403949998,66.6666666666667</v>
      </c>
    </row>
    <row r="31" spans="1:21" x14ac:dyDescent="0.25">
      <c r="N31" s="17">
        <v>7</v>
      </c>
      <c r="O31" s="10">
        <v>739.62800000000004</v>
      </c>
      <c r="P31" s="10">
        <f t="shared" si="11"/>
        <v>77.777777777777771</v>
      </c>
      <c r="Q31" s="10">
        <f t="shared" si="12"/>
        <v>12.855402979031261</v>
      </c>
      <c r="R31" s="58" t="str">
        <f t="shared" si="13"/>
        <v>12.8554029790313,77.7777777777778</v>
      </c>
    </row>
    <row r="32" spans="1:21" x14ac:dyDescent="0.25">
      <c r="N32" s="17">
        <v>8</v>
      </c>
      <c r="O32" s="10">
        <v>979.61400000000003</v>
      </c>
      <c r="P32" s="10">
        <f t="shared" si="11"/>
        <v>88.888888888888886</v>
      </c>
      <c r="Q32" s="10">
        <f t="shared" si="12"/>
        <v>17.026576514005324</v>
      </c>
      <c r="R32" s="58" t="str">
        <f t="shared" si="13"/>
        <v>17.0265765140053,88.8888888888889</v>
      </c>
    </row>
    <row r="33" spans="14:18" x14ac:dyDescent="0.25">
      <c r="N33" s="17">
        <v>9</v>
      </c>
      <c r="O33" s="10">
        <v>1251.614</v>
      </c>
      <c r="P33" s="10">
        <f t="shared" si="11"/>
        <v>100</v>
      </c>
      <c r="Q33" s="10">
        <f t="shared" si="12"/>
        <v>21.754182297313289</v>
      </c>
      <c r="R33" s="58" t="str">
        <f t="shared" si="13"/>
        <v>21.7541822973133,100</v>
      </c>
    </row>
    <row r="34" spans="14:18" x14ac:dyDescent="0.25">
      <c r="N34" s="17">
        <v>10</v>
      </c>
      <c r="O34" s="10">
        <v>1555.614</v>
      </c>
      <c r="P34" s="10">
        <f t="shared" si="11"/>
        <v>111.11111111111111</v>
      </c>
      <c r="Q34" s="10">
        <f t="shared" si="12"/>
        <v>27.03797699630454</v>
      </c>
      <c r="R34" s="58" t="str">
        <f t="shared" si="13"/>
        <v>27.0379769963045,111.111111111111</v>
      </c>
    </row>
    <row r="35" spans="14:18" x14ac:dyDescent="0.25">
      <c r="N35" s="17">
        <v>11</v>
      </c>
      <c r="O35" s="10">
        <v>1891.614</v>
      </c>
      <c r="P35" s="10">
        <f t="shared" si="11"/>
        <v>122.22222222222221</v>
      </c>
      <c r="Q35" s="10">
        <f t="shared" si="12"/>
        <v>32.877960610979088</v>
      </c>
      <c r="R35" s="58" t="str">
        <f t="shared" si="13"/>
        <v>32.8779606109791,122.222222222222</v>
      </c>
    </row>
    <row r="36" spans="14:18" x14ac:dyDescent="0.25">
      <c r="N36" s="17">
        <v>12</v>
      </c>
      <c r="O36" s="10">
        <v>2259.614</v>
      </c>
      <c r="P36" s="10">
        <f t="shared" si="11"/>
        <v>133.33333333333331</v>
      </c>
      <c r="Q36" s="10">
        <f t="shared" si="12"/>
        <v>39.274133141336918</v>
      </c>
      <c r="R36" s="58" t="str">
        <f t="shared" si="13"/>
        <v>39.2741331413369,133.333333333333</v>
      </c>
    </row>
    <row r="37" spans="14:18" x14ac:dyDescent="0.25">
      <c r="N37" s="17">
        <v>13</v>
      </c>
      <c r="O37" s="10">
        <v>2659.614</v>
      </c>
      <c r="P37" s="10">
        <f t="shared" si="11"/>
        <v>144.44444444444443</v>
      </c>
      <c r="Q37" s="10">
        <f t="shared" si="12"/>
        <v>46.226494587378042</v>
      </c>
      <c r="R37" s="58" t="str">
        <f t="shared" si="13"/>
        <v>46.226494587378,144.444444444444</v>
      </c>
    </row>
    <row r="38" spans="14:18" x14ac:dyDescent="0.25">
      <c r="N38" s="17">
        <v>13.07</v>
      </c>
      <c r="O38" s="10">
        <v>2688.8124000000003</v>
      </c>
      <c r="P38" s="10">
        <f t="shared" si="11"/>
        <v>145.22222222222223</v>
      </c>
      <c r="Q38" s="10">
        <f t="shared" si="12"/>
        <v>46.733989163493263</v>
      </c>
      <c r="R38" s="58" t="str">
        <f t="shared" si="13"/>
        <v>46.7339891634933,145.222222222222</v>
      </c>
    </row>
    <row r="39" spans="14:18" ht="15.75" thickBot="1" x14ac:dyDescent="0.3">
      <c r="N39" s="19">
        <v>13.67</v>
      </c>
      <c r="O39" s="34">
        <v>2945.5164</v>
      </c>
      <c r="P39" s="34">
        <f t="shared" si="11"/>
        <v>151.88888888888889</v>
      </c>
      <c r="Q39" s="34">
        <f t="shared" si="12"/>
        <v>51.19573664510461</v>
      </c>
      <c r="R39" s="59" t="str">
        <f t="shared" si="13"/>
        <v>51.1957366451046,151.888888888889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CD67-55FA-486E-83EC-F7C7EB6AB542}">
  <dimension ref="A1:U37"/>
  <sheetViews>
    <sheetView zoomScale="85" zoomScaleNormal="85" workbookViewId="0">
      <selection activeCell="U39" sqref="U39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4.28515625" style="4" customWidth="1"/>
    <col min="16" max="16" width="14" style="4" customWidth="1"/>
    <col min="17" max="17" width="17.85546875" style="4" customWidth="1"/>
    <col min="18" max="18" width="37.7109375" style="4" customWidth="1"/>
    <col min="19" max="19" width="9.85546875" style="4" customWidth="1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62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9.6067999999999998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6" si="0">N2*$O$20</f>
        <v>0</v>
      </c>
      <c r="Q2" s="51">
        <f t="shared" ref="Q2:Q16" si="1">O2*$R$20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13.273999999999999</v>
      </c>
      <c r="E3" s="10">
        <f>D3+D2</f>
        <v>22.880800000000001</v>
      </c>
      <c r="F3" s="10">
        <f>C3*E3</f>
        <v>22.880800000000001</v>
      </c>
      <c r="G3" s="10">
        <f>G2+F3</f>
        <v>22.880800000000001</v>
      </c>
      <c r="H3" s="10">
        <f t="shared" ref="H3:H16" si="2">B3*D3</f>
        <v>13.273999999999999</v>
      </c>
      <c r="I3" s="10">
        <f>H3+H2</f>
        <v>13.273999999999999</v>
      </c>
      <c r="J3" s="10">
        <f t="shared" ref="J3:J16" si="3">C3*I3</f>
        <v>13.273999999999999</v>
      </c>
      <c r="K3" s="58">
        <f>K2+J3</f>
        <v>13.273999999999999</v>
      </c>
      <c r="N3" s="17">
        <v>1</v>
      </c>
      <c r="O3" s="10">
        <v>22.880800000000001</v>
      </c>
      <c r="P3" s="10">
        <f t="shared" si="0"/>
        <v>11.111111111111111</v>
      </c>
      <c r="Q3" s="10">
        <f t="shared" si="1"/>
        <v>2.710442895523661</v>
      </c>
      <c r="R3" s="58" t="str">
        <f t="shared" ref="R3:R16" si="4">CONCATENATE(Q3,",",P3)</f>
        <v>2.71044289552366,11.1111111111111</v>
      </c>
    </row>
    <row r="4" spans="1:18" x14ac:dyDescent="0.25">
      <c r="A4" s="17">
        <v>2</v>
      </c>
      <c r="B4" s="10">
        <v>2</v>
      </c>
      <c r="C4" s="10">
        <f t="shared" ref="C4:C16" si="5">B4-B3</f>
        <v>1</v>
      </c>
      <c r="D4" s="11">
        <v>14.502000000000001</v>
      </c>
      <c r="E4" s="10">
        <f t="shared" ref="E4:E16" si="6">D4+D3</f>
        <v>27.776</v>
      </c>
      <c r="F4" s="10">
        <f t="shared" ref="F4:F16" si="7">C4*E4</f>
        <v>27.776</v>
      </c>
      <c r="G4" s="10">
        <f t="shared" ref="G4:G16" si="8">G3+F4</f>
        <v>50.656800000000004</v>
      </c>
      <c r="H4" s="10">
        <f t="shared" si="2"/>
        <v>29.004000000000001</v>
      </c>
      <c r="I4" s="10">
        <f t="shared" ref="I4:I16" si="9">H4+H3</f>
        <v>42.277999999999999</v>
      </c>
      <c r="J4" s="10">
        <f t="shared" si="3"/>
        <v>42.277999999999999</v>
      </c>
      <c r="K4" s="58">
        <f t="shared" ref="K4:K16" si="10">K3+J4</f>
        <v>55.552</v>
      </c>
      <c r="N4" s="17">
        <v>2</v>
      </c>
      <c r="O4" s="10">
        <v>50.656800000000004</v>
      </c>
      <c r="P4" s="10">
        <f t="shared" si="0"/>
        <v>22.222222222222221</v>
      </c>
      <c r="Q4" s="10">
        <f t="shared" si="1"/>
        <v>6.0007676160782406</v>
      </c>
      <c r="R4" s="58" t="str">
        <f t="shared" si="4"/>
        <v>6.00076761607824,22.2222222222222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15.275</v>
      </c>
      <c r="E5" s="10">
        <f t="shared" si="6"/>
        <v>29.777000000000001</v>
      </c>
      <c r="F5" s="10">
        <f t="shared" si="7"/>
        <v>29.777000000000001</v>
      </c>
      <c r="G5" s="10">
        <f t="shared" si="8"/>
        <v>80.433800000000005</v>
      </c>
      <c r="H5" s="10">
        <f t="shared" si="2"/>
        <v>45.825000000000003</v>
      </c>
      <c r="I5" s="10">
        <f t="shared" si="9"/>
        <v>74.829000000000008</v>
      </c>
      <c r="J5" s="10">
        <f t="shared" si="3"/>
        <v>74.829000000000008</v>
      </c>
      <c r="K5" s="58">
        <f t="shared" si="10"/>
        <v>130.381</v>
      </c>
      <c r="N5" s="17">
        <v>3</v>
      </c>
      <c r="O5" s="10">
        <v>80.433800000000005</v>
      </c>
      <c r="P5" s="10">
        <f t="shared" si="0"/>
        <v>33.333333333333329</v>
      </c>
      <c r="Q5" s="10">
        <f t="shared" si="1"/>
        <v>9.5281293385708139</v>
      </c>
      <c r="R5" s="58" t="str">
        <f t="shared" si="4"/>
        <v>9.52812933857081,33.3333333333333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15.762</v>
      </c>
      <c r="E6" s="10">
        <f t="shared" si="6"/>
        <v>31.036999999999999</v>
      </c>
      <c r="F6" s="10">
        <f t="shared" si="7"/>
        <v>31.036999999999999</v>
      </c>
      <c r="G6" s="10">
        <f t="shared" si="8"/>
        <v>111.4708</v>
      </c>
      <c r="H6" s="10">
        <f t="shared" si="2"/>
        <v>63.048000000000002</v>
      </c>
      <c r="I6" s="10">
        <f t="shared" si="9"/>
        <v>108.873</v>
      </c>
      <c r="J6" s="10">
        <f t="shared" si="3"/>
        <v>108.873</v>
      </c>
      <c r="K6" s="58">
        <f t="shared" si="10"/>
        <v>239.25400000000002</v>
      </c>
      <c r="N6" s="17">
        <v>4</v>
      </c>
      <c r="O6" s="10">
        <v>111.4708</v>
      </c>
      <c r="P6" s="10">
        <f t="shared" si="0"/>
        <v>44.444444444444443</v>
      </c>
      <c r="Q6" s="10">
        <f t="shared" si="1"/>
        <v>13.204749742943381</v>
      </c>
      <c r="R6" s="58" t="str">
        <f t="shared" si="4"/>
        <v>13.2047497429434,44.4444444444444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15.984999999999999</v>
      </c>
      <c r="E7" s="10">
        <f t="shared" si="6"/>
        <v>31.747</v>
      </c>
      <c r="F7" s="10">
        <f t="shared" si="7"/>
        <v>31.747</v>
      </c>
      <c r="G7" s="10">
        <f t="shared" si="8"/>
        <v>143.21780000000001</v>
      </c>
      <c r="H7" s="10">
        <f t="shared" si="2"/>
        <v>79.924999999999997</v>
      </c>
      <c r="I7" s="10">
        <f t="shared" si="9"/>
        <v>142.97300000000001</v>
      </c>
      <c r="J7" s="10">
        <f t="shared" si="3"/>
        <v>142.97300000000001</v>
      </c>
      <c r="K7" s="58">
        <f t="shared" si="10"/>
        <v>382.22700000000003</v>
      </c>
      <c r="N7" s="17">
        <v>5</v>
      </c>
      <c r="O7" s="10">
        <v>143.21780000000001</v>
      </c>
      <c r="P7" s="10">
        <f t="shared" si="0"/>
        <v>55.555555555555557</v>
      </c>
      <c r="Q7" s="10">
        <f t="shared" si="1"/>
        <v>16.965476229962615</v>
      </c>
      <c r="R7" s="58" t="str">
        <f t="shared" si="4"/>
        <v>16.9654762299626,55.5555555555556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16</v>
      </c>
      <c r="E8" s="10">
        <f t="shared" si="6"/>
        <v>31.984999999999999</v>
      </c>
      <c r="F8" s="10">
        <f t="shared" si="7"/>
        <v>31.984999999999999</v>
      </c>
      <c r="G8" s="10">
        <f t="shared" si="8"/>
        <v>175.20280000000002</v>
      </c>
      <c r="H8" s="10">
        <f t="shared" si="2"/>
        <v>96</v>
      </c>
      <c r="I8" s="10">
        <f t="shared" si="9"/>
        <v>175.92500000000001</v>
      </c>
      <c r="J8" s="10">
        <f t="shared" si="3"/>
        <v>175.92500000000001</v>
      </c>
      <c r="K8" s="58">
        <f t="shared" si="10"/>
        <v>558.15200000000004</v>
      </c>
      <c r="N8" s="17">
        <v>6</v>
      </c>
      <c r="O8" s="10">
        <v>175.20280000000002</v>
      </c>
      <c r="P8" s="10">
        <f t="shared" si="0"/>
        <v>66.666666666666657</v>
      </c>
      <c r="Q8" s="10">
        <f t="shared" si="1"/>
        <v>20.754396023559181</v>
      </c>
      <c r="R8" s="58" t="str">
        <f t="shared" si="4"/>
        <v>20.7543960235592,66.6666666666667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16</v>
      </c>
      <c r="E9" s="10">
        <f t="shared" si="6"/>
        <v>32</v>
      </c>
      <c r="F9" s="10">
        <f t="shared" si="7"/>
        <v>32</v>
      </c>
      <c r="G9" s="10">
        <f t="shared" si="8"/>
        <v>207.20280000000002</v>
      </c>
      <c r="H9" s="10">
        <f t="shared" si="2"/>
        <v>112</v>
      </c>
      <c r="I9" s="10">
        <f t="shared" si="9"/>
        <v>208</v>
      </c>
      <c r="J9" s="10">
        <f t="shared" si="3"/>
        <v>208</v>
      </c>
      <c r="K9" s="58">
        <f t="shared" si="10"/>
        <v>766.15200000000004</v>
      </c>
      <c r="N9" s="17">
        <v>7</v>
      </c>
      <c r="O9" s="10">
        <v>207.20280000000002</v>
      </c>
      <c r="P9" s="10">
        <f t="shared" si="0"/>
        <v>77.777777777777771</v>
      </c>
      <c r="Q9" s="10">
        <f t="shared" si="1"/>
        <v>24.545092706225748</v>
      </c>
      <c r="R9" s="58" t="str">
        <f t="shared" si="4"/>
        <v>24.5450927062257,77.7777777777778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16</v>
      </c>
      <c r="E10" s="10">
        <f t="shared" si="6"/>
        <v>32</v>
      </c>
      <c r="F10" s="10">
        <f t="shared" si="7"/>
        <v>32</v>
      </c>
      <c r="G10" s="10">
        <f t="shared" si="8"/>
        <v>239.20280000000002</v>
      </c>
      <c r="H10" s="10">
        <f t="shared" si="2"/>
        <v>128</v>
      </c>
      <c r="I10" s="10">
        <f t="shared" si="9"/>
        <v>240</v>
      </c>
      <c r="J10" s="10">
        <f t="shared" si="3"/>
        <v>240</v>
      </c>
      <c r="K10" s="58">
        <f t="shared" si="10"/>
        <v>1006.152</v>
      </c>
      <c r="N10" s="17">
        <v>8</v>
      </c>
      <c r="O10" s="10">
        <v>239.20280000000002</v>
      </c>
      <c r="P10" s="10">
        <f t="shared" si="0"/>
        <v>88.888888888888886</v>
      </c>
      <c r="Q10" s="10">
        <f t="shared" si="1"/>
        <v>28.335789388892312</v>
      </c>
      <c r="R10" s="58" t="str">
        <f t="shared" si="4"/>
        <v>28.3357893888923,88.8888888888889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16</v>
      </c>
      <c r="E11" s="10">
        <f t="shared" si="6"/>
        <v>32</v>
      </c>
      <c r="F11" s="10">
        <f t="shared" si="7"/>
        <v>32</v>
      </c>
      <c r="G11" s="10">
        <f t="shared" si="8"/>
        <v>271.20280000000002</v>
      </c>
      <c r="H11" s="10">
        <f t="shared" si="2"/>
        <v>144</v>
      </c>
      <c r="I11" s="10">
        <f t="shared" si="9"/>
        <v>272</v>
      </c>
      <c r="J11" s="10">
        <f t="shared" si="3"/>
        <v>272</v>
      </c>
      <c r="K11" s="58">
        <f t="shared" si="10"/>
        <v>1278.152</v>
      </c>
      <c r="N11" s="17">
        <v>9</v>
      </c>
      <c r="O11" s="10">
        <v>271.20280000000002</v>
      </c>
      <c r="P11" s="10">
        <f t="shared" si="0"/>
        <v>100</v>
      </c>
      <c r="Q11" s="10">
        <f t="shared" si="1"/>
        <v>32.12648607155888</v>
      </c>
      <c r="R11" s="58" t="str">
        <f t="shared" si="4"/>
        <v>32.1264860715589,100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16</v>
      </c>
      <c r="E12" s="10">
        <f t="shared" si="6"/>
        <v>32</v>
      </c>
      <c r="F12" s="10">
        <f t="shared" si="7"/>
        <v>32</v>
      </c>
      <c r="G12" s="10">
        <f t="shared" si="8"/>
        <v>303.20280000000002</v>
      </c>
      <c r="H12" s="10">
        <f t="shared" si="2"/>
        <v>160</v>
      </c>
      <c r="I12" s="10">
        <f t="shared" si="9"/>
        <v>304</v>
      </c>
      <c r="J12" s="10">
        <f t="shared" si="3"/>
        <v>304</v>
      </c>
      <c r="K12" s="58">
        <f t="shared" si="10"/>
        <v>1582.152</v>
      </c>
      <c r="N12" s="17">
        <v>10</v>
      </c>
      <c r="O12" s="10">
        <v>303.20280000000002</v>
      </c>
      <c r="P12" s="10">
        <f t="shared" si="0"/>
        <v>111.11111111111111</v>
      </c>
      <c r="Q12" s="10">
        <f t="shared" si="1"/>
        <v>35.917182754225443</v>
      </c>
      <c r="R12" s="58" t="str">
        <f t="shared" si="4"/>
        <v>35.9171827542254,111.111111111111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32</v>
      </c>
      <c r="F13" s="10">
        <f t="shared" si="7"/>
        <v>32</v>
      </c>
      <c r="G13" s="10">
        <f t="shared" si="8"/>
        <v>335.20280000000002</v>
      </c>
      <c r="H13" s="10">
        <f t="shared" si="2"/>
        <v>176</v>
      </c>
      <c r="I13" s="10">
        <f t="shared" si="9"/>
        <v>336</v>
      </c>
      <c r="J13" s="10">
        <f t="shared" si="3"/>
        <v>336</v>
      </c>
      <c r="K13" s="58">
        <f t="shared" si="10"/>
        <v>1918.152</v>
      </c>
      <c r="N13" s="17">
        <v>11</v>
      </c>
      <c r="O13" s="10">
        <v>335.20280000000002</v>
      </c>
      <c r="P13" s="10">
        <f t="shared" si="0"/>
        <v>122.22222222222221</v>
      </c>
      <c r="Q13" s="10">
        <f t="shared" si="1"/>
        <v>39.707879436892007</v>
      </c>
      <c r="R13" s="58" t="str">
        <f t="shared" si="4"/>
        <v>39.707879436892,122.222222222222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367.20280000000002</v>
      </c>
      <c r="H14" s="10">
        <f t="shared" si="2"/>
        <v>192</v>
      </c>
      <c r="I14" s="10">
        <f t="shared" si="9"/>
        <v>368</v>
      </c>
      <c r="J14" s="10">
        <f t="shared" si="3"/>
        <v>368</v>
      </c>
      <c r="K14" s="58">
        <f t="shared" si="10"/>
        <v>2286.152</v>
      </c>
      <c r="N14" s="17">
        <v>12</v>
      </c>
      <c r="O14" s="10">
        <v>367.20280000000002</v>
      </c>
      <c r="P14" s="10">
        <f t="shared" si="0"/>
        <v>133.33333333333331</v>
      </c>
      <c r="Q14" s="10">
        <f t="shared" si="1"/>
        <v>43.498576119558578</v>
      </c>
      <c r="R14" s="58" t="str">
        <f t="shared" si="4"/>
        <v>43.4985761195586,133.333333333333</v>
      </c>
    </row>
    <row r="15" spans="1:18" x14ac:dyDescent="0.25">
      <c r="A15" s="17" t="s">
        <v>154</v>
      </c>
      <c r="B15" s="10">
        <v>12.91</v>
      </c>
      <c r="C15" s="10">
        <f t="shared" si="5"/>
        <v>0.91000000000000014</v>
      </c>
      <c r="D15" s="11">
        <v>16</v>
      </c>
      <c r="E15" s="10">
        <f t="shared" si="6"/>
        <v>32</v>
      </c>
      <c r="F15" s="10">
        <f t="shared" si="7"/>
        <v>29.120000000000005</v>
      </c>
      <c r="G15" s="10">
        <f t="shared" si="8"/>
        <v>396.32280000000003</v>
      </c>
      <c r="H15" s="10">
        <f t="shared" si="2"/>
        <v>206.56</v>
      </c>
      <c r="I15" s="10">
        <f t="shared" si="9"/>
        <v>398.56</v>
      </c>
      <c r="J15" s="10">
        <f t="shared" si="3"/>
        <v>362.68960000000004</v>
      </c>
      <c r="K15" s="58">
        <f t="shared" si="10"/>
        <v>2648.8416000000002</v>
      </c>
      <c r="N15" s="17">
        <v>12.91</v>
      </c>
      <c r="O15" s="10">
        <v>396.32280000000003</v>
      </c>
      <c r="P15" s="10">
        <f t="shared" si="0"/>
        <v>143.44444444444443</v>
      </c>
      <c r="Q15" s="10">
        <f t="shared" si="1"/>
        <v>46.948110100785151</v>
      </c>
      <c r="R15" s="58" t="str">
        <f t="shared" si="4"/>
        <v>46.9481101007852,143.444444444444</v>
      </c>
    </row>
    <row r="16" spans="1:18" ht="15.75" thickBot="1" x14ac:dyDescent="0.3">
      <c r="A16" s="19" t="s">
        <v>5</v>
      </c>
      <c r="B16" s="34">
        <v>13.5</v>
      </c>
      <c r="C16" s="34">
        <f t="shared" si="5"/>
        <v>0.58999999999999986</v>
      </c>
      <c r="D16" s="34">
        <v>16</v>
      </c>
      <c r="E16" s="34">
        <f t="shared" si="6"/>
        <v>32</v>
      </c>
      <c r="F16" s="34">
        <f t="shared" si="7"/>
        <v>18.879999999999995</v>
      </c>
      <c r="G16" s="34">
        <f t="shared" si="8"/>
        <v>415.20280000000002</v>
      </c>
      <c r="H16" s="34">
        <f t="shared" si="2"/>
        <v>216</v>
      </c>
      <c r="I16" s="34">
        <f t="shared" si="9"/>
        <v>422.56</v>
      </c>
      <c r="J16" s="34">
        <f t="shared" si="3"/>
        <v>249.31039999999993</v>
      </c>
      <c r="K16" s="59">
        <f t="shared" si="10"/>
        <v>2898.152</v>
      </c>
      <c r="N16" s="19">
        <v>13.5</v>
      </c>
      <c r="O16" s="34">
        <v>415.20280000000002</v>
      </c>
      <c r="P16" s="34">
        <f t="shared" si="0"/>
        <v>150</v>
      </c>
      <c r="Q16" s="34">
        <f t="shared" si="1"/>
        <v>49.184621143558424</v>
      </c>
      <c r="R16" s="59" t="str">
        <f t="shared" si="4"/>
        <v>49.1846211435584,150</v>
      </c>
    </row>
    <row r="18" spans="14:21" x14ac:dyDescent="0.25">
      <c r="O18" s="4" t="s">
        <v>155</v>
      </c>
      <c r="Q18" s="4" t="s">
        <v>156</v>
      </c>
      <c r="T18" s="4" t="s">
        <v>159</v>
      </c>
    </row>
    <row r="19" spans="14:21" x14ac:dyDescent="0.25">
      <c r="N19" s="4">
        <v>18</v>
      </c>
      <c r="O19" s="4">
        <v>200</v>
      </c>
      <c r="Q19" s="4">
        <v>422.08600000000001</v>
      </c>
      <c r="R19" s="4">
        <v>50</v>
      </c>
      <c r="T19" s="4">
        <v>2876.7204000000002</v>
      </c>
      <c r="U19" s="4">
        <v>50</v>
      </c>
    </row>
    <row r="20" spans="14:21" x14ac:dyDescent="0.25">
      <c r="O20" s="4">
        <v>11.111111111111111</v>
      </c>
      <c r="R20" s="4">
        <v>0.11845927133333017</v>
      </c>
      <c r="U20" s="4">
        <v>1.7380903615102809E-2</v>
      </c>
    </row>
    <row r="21" spans="14:21" ht="15.75" thickBot="1" x14ac:dyDescent="0.3"/>
    <row r="22" spans="14:21" ht="15.75" thickBot="1" x14ac:dyDescent="0.3">
      <c r="N22" s="5" t="s">
        <v>4</v>
      </c>
      <c r="O22" s="5" t="s">
        <v>153</v>
      </c>
      <c r="P22" s="5" t="s">
        <v>155</v>
      </c>
      <c r="Q22" s="5" t="s">
        <v>159</v>
      </c>
      <c r="R22" s="5" t="s">
        <v>157</v>
      </c>
    </row>
    <row r="23" spans="14:21" x14ac:dyDescent="0.25">
      <c r="N23" s="42">
        <v>0</v>
      </c>
      <c r="O23" s="51">
        <v>0</v>
      </c>
      <c r="P23" s="51">
        <f>N23*$O$20</f>
        <v>0</v>
      </c>
      <c r="Q23" s="51">
        <f>O23*$U$20</f>
        <v>0</v>
      </c>
      <c r="R23" s="43" t="str">
        <f>CONCATENATE(Q23,",",P23)</f>
        <v>0,0</v>
      </c>
    </row>
    <row r="24" spans="14:21" x14ac:dyDescent="0.25">
      <c r="N24" s="17">
        <v>1</v>
      </c>
      <c r="O24" s="10">
        <v>13.273999999999999</v>
      </c>
      <c r="P24" s="10">
        <f t="shared" ref="P24:P37" si="11">N24*$O$20</f>
        <v>11.111111111111111</v>
      </c>
      <c r="Q24" s="10">
        <f t="shared" ref="Q24:Q37" si="12">O24*$U$20</f>
        <v>0.23071411458687466</v>
      </c>
      <c r="R24" s="58" t="str">
        <f t="shared" ref="R24:R37" si="13">CONCATENATE(Q24,",",P24)</f>
        <v>0.230714114586875,11.1111111111111</v>
      </c>
    </row>
    <row r="25" spans="14:21" x14ac:dyDescent="0.25">
      <c r="N25" s="17">
        <v>2</v>
      </c>
      <c r="O25" s="10">
        <v>55.552</v>
      </c>
      <c r="P25" s="10">
        <f t="shared" si="11"/>
        <v>22.222222222222221</v>
      </c>
      <c r="Q25" s="10">
        <f t="shared" si="12"/>
        <v>0.96554395762619116</v>
      </c>
      <c r="R25" s="58" t="str">
        <f t="shared" si="13"/>
        <v>0.965543957626191,22.2222222222222</v>
      </c>
    </row>
    <row r="26" spans="14:21" x14ac:dyDescent="0.25">
      <c r="N26" s="17">
        <v>3</v>
      </c>
      <c r="O26" s="10">
        <v>130.381</v>
      </c>
      <c r="P26" s="10">
        <f t="shared" si="11"/>
        <v>33.333333333333329</v>
      </c>
      <c r="Q26" s="10">
        <f t="shared" si="12"/>
        <v>2.2661395942407192</v>
      </c>
      <c r="R26" s="58" t="str">
        <f t="shared" si="13"/>
        <v>2.26613959424072,33.3333333333333</v>
      </c>
    </row>
    <row r="27" spans="14:21" x14ac:dyDescent="0.25">
      <c r="N27" s="17">
        <v>4</v>
      </c>
      <c r="O27" s="10">
        <v>239.25400000000002</v>
      </c>
      <c r="P27" s="10">
        <f t="shared" si="11"/>
        <v>44.444444444444443</v>
      </c>
      <c r="Q27" s="10">
        <f t="shared" si="12"/>
        <v>4.1584507135278077</v>
      </c>
      <c r="R27" s="58" t="str">
        <f t="shared" si="13"/>
        <v>4.15845071352781,44.4444444444444</v>
      </c>
    </row>
    <row r="28" spans="14:21" x14ac:dyDescent="0.25">
      <c r="N28" s="17">
        <v>5</v>
      </c>
      <c r="O28" s="10">
        <v>382.22700000000003</v>
      </c>
      <c r="P28" s="10">
        <f t="shared" si="11"/>
        <v>55.555555555555557</v>
      </c>
      <c r="Q28" s="10">
        <f t="shared" si="12"/>
        <v>6.6434506460899021</v>
      </c>
      <c r="R28" s="58" t="str">
        <f t="shared" si="13"/>
        <v>6.6434506460899,55.5555555555556</v>
      </c>
    </row>
    <row r="29" spans="14:21" x14ac:dyDescent="0.25">
      <c r="N29" s="17">
        <v>6</v>
      </c>
      <c r="O29" s="10">
        <v>558.15200000000004</v>
      </c>
      <c r="P29" s="10">
        <f t="shared" si="11"/>
        <v>66.666666666666657</v>
      </c>
      <c r="Q29" s="10">
        <f t="shared" si="12"/>
        <v>9.7011861145768634</v>
      </c>
      <c r="R29" s="58" t="str">
        <f t="shared" si="13"/>
        <v>9.70118611457686,66.6666666666667</v>
      </c>
    </row>
    <row r="30" spans="14:21" x14ac:dyDescent="0.25">
      <c r="N30" s="17">
        <v>7</v>
      </c>
      <c r="O30" s="10">
        <v>766.15200000000004</v>
      </c>
      <c r="P30" s="10">
        <f t="shared" si="11"/>
        <v>77.777777777777771</v>
      </c>
      <c r="Q30" s="10">
        <f t="shared" si="12"/>
        <v>13.316414066518247</v>
      </c>
      <c r="R30" s="58" t="str">
        <f t="shared" si="13"/>
        <v>13.3164140665182,77.7777777777778</v>
      </c>
    </row>
    <row r="31" spans="14:21" x14ac:dyDescent="0.25">
      <c r="N31" s="17">
        <v>8</v>
      </c>
      <c r="O31" s="10">
        <v>1006.152</v>
      </c>
      <c r="P31" s="10">
        <f t="shared" si="11"/>
        <v>88.888888888888886</v>
      </c>
      <c r="Q31" s="10">
        <f t="shared" si="12"/>
        <v>17.48783093414292</v>
      </c>
      <c r="R31" s="58" t="str">
        <f t="shared" si="13"/>
        <v>17.4878309341429,88.8888888888889</v>
      </c>
    </row>
    <row r="32" spans="14:21" x14ac:dyDescent="0.25">
      <c r="N32" s="17">
        <v>9</v>
      </c>
      <c r="O32" s="10">
        <v>1278.152</v>
      </c>
      <c r="P32" s="10">
        <f t="shared" si="11"/>
        <v>100</v>
      </c>
      <c r="Q32" s="10">
        <f t="shared" si="12"/>
        <v>22.215436717450885</v>
      </c>
      <c r="R32" s="58" t="str">
        <f t="shared" si="13"/>
        <v>22.2154367174509,100</v>
      </c>
    </row>
    <row r="33" spans="14:18" x14ac:dyDescent="0.25">
      <c r="N33" s="17">
        <v>10</v>
      </c>
      <c r="O33" s="10">
        <v>1582.152</v>
      </c>
      <c r="P33" s="10">
        <f t="shared" si="11"/>
        <v>111.11111111111111</v>
      </c>
      <c r="Q33" s="10">
        <f t="shared" si="12"/>
        <v>27.499231416442139</v>
      </c>
      <c r="R33" s="58" t="str">
        <f t="shared" si="13"/>
        <v>27.4992314164421,111.111111111111</v>
      </c>
    </row>
    <row r="34" spans="14:18" x14ac:dyDescent="0.25">
      <c r="N34" s="17">
        <v>11</v>
      </c>
      <c r="O34" s="10">
        <v>1918.152</v>
      </c>
      <c r="P34" s="10">
        <f t="shared" si="11"/>
        <v>122.22222222222221</v>
      </c>
      <c r="Q34" s="10">
        <f t="shared" si="12"/>
        <v>33.33921503111668</v>
      </c>
      <c r="R34" s="58" t="str">
        <f t="shared" si="13"/>
        <v>33.3392150311167,122.222222222222</v>
      </c>
    </row>
    <row r="35" spans="14:18" x14ac:dyDescent="0.25">
      <c r="N35" s="17">
        <v>12</v>
      </c>
      <c r="O35" s="10">
        <v>2286.152</v>
      </c>
      <c r="P35" s="10">
        <f t="shared" si="11"/>
        <v>133.33333333333331</v>
      </c>
      <c r="Q35" s="10">
        <f t="shared" si="12"/>
        <v>39.735387561474518</v>
      </c>
      <c r="R35" s="58" t="str">
        <f t="shared" si="13"/>
        <v>39.7353875614745,133.333333333333</v>
      </c>
    </row>
    <row r="36" spans="14:18" x14ac:dyDescent="0.25">
      <c r="N36" s="17">
        <v>12.91</v>
      </c>
      <c r="O36" s="10">
        <v>2648.8416000000002</v>
      </c>
      <c r="P36" s="10">
        <f t="shared" si="11"/>
        <v>143.44444444444443</v>
      </c>
      <c r="Q36" s="10">
        <f t="shared" si="12"/>
        <v>46.039260541274714</v>
      </c>
      <c r="R36" s="58" t="str">
        <f t="shared" si="13"/>
        <v>46.0392605412747,143.444444444444</v>
      </c>
    </row>
    <row r="37" spans="14:18" ht="15.75" thickBot="1" x14ac:dyDescent="0.3">
      <c r="N37" s="19">
        <v>13.5</v>
      </c>
      <c r="O37" s="34">
        <v>2898.152</v>
      </c>
      <c r="P37" s="34">
        <f t="shared" si="11"/>
        <v>150</v>
      </c>
      <c r="Q37" s="34">
        <f t="shared" si="12"/>
        <v>50.372500573917435</v>
      </c>
      <c r="R37" s="59" t="str">
        <f t="shared" si="13"/>
        <v>50.3725005739174,150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AFCE-B935-4804-90D6-1E1864EF59D2}">
  <dimension ref="A1:U37"/>
  <sheetViews>
    <sheetView zoomScale="85" zoomScaleNormal="85" workbookViewId="0">
      <selection activeCell="U38" sqref="U38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4.140625" style="4" customWidth="1"/>
    <col min="16" max="16" width="15.7109375" style="4" customWidth="1"/>
    <col min="17" max="17" width="14.28515625" style="4" customWidth="1"/>
    <col min="18" max="18" width="34.57031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62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11.757999999999999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6" si="0">N2*$O$20</f>
        <v>0</v>
      </c>
      <c r="Q2" s="51">
        <f t="shared" ref="Q2:Q16" si="1">O2*$R$20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14.432</v>
      </c>
      <c r="E3" s="10">
        <f>D3+D2</f>
        <v>26.189999999999998</v>
      </c>
      <c r="F3" s="10">
        <f>C3*E3</f>
        <v>26.189999999999998</v>
      </c>
      <c r="G3" s="10">
        <f>G2+F3</f>
        <v>26.189999999999998</v>
      </c>
      <c r="H3" s="10">
        <f t="shared" ref="H3:H16" si="2">B3*D3</f>
        <v>14.432</v>
      </c>
      <c r="I3" s="10">
        <f>H3+H2</f>
        <v>14.432</v>
      </c>
      <c r="J3" s="10">
        <f t="shared" ref="J3:J16" si="3">C3*I3</f>
        <v>14.432</v>
      </c>
      <c r="K3" s="58">
        <f>K2+J3</f>
        <v>14.432</v>
      </c>
      <c r="N3" s="17">
        <v>1</v>
      </c>
      <c r="O3" s="10">
        <v>26.189999999999998</v>
      </c>
      <c r="P3" s="10">
        <f t="shared" si="0"/>
        <v>11.111111111111111</v>
      </c>
      <c r="Q3" s="10">
        <f t="shared" si="1"/>
        <v>3.1024483162199168</v>
      </c>
      <c r="R3" s="58" t="str">
        <f t="shared" ref="R3:R16" si="4">CONCATENATE(Q3,",",P3)</f>
        <v>3.10244831621992,11.1111111111111</v>
      </c>
    </row>
    <row r="4" spans="1:18" x14ac:dyDescent="0.25">
      <c r="A4" s="17">
        <v>2</v>
      </c>
      <c r="B4" s="10">
        <v>2</v>
      </c>
      <c r="C4" s="10">
        <f t="shared" ref="C4:C16" si="5">B4-B3</f>
        <v>1</v>
      </c>
      <c r="D4" s="11">
        <v>15.339</v>
      </c>
      <c r="E4" s="10">
        <f t="shared" ref="E4:E16" si="6">D4+D3</f>
        <v>29.771000000000001</v>
      </c>
      <c r="F4" s="10">
        <f t="shared" ref="F4:F16" si="7">C4*E4</f>
        <v>29.771000000000001</v>
      </c>
      <c r="G4" s="10">
        <f t="shared" ref="G4:G16" si="8">G3+F4</f>
        <v>55.960999999999999</v>
      </c>
      <c r="H4" s="10">
        <f t="shared" si="2"/>
        <v>30.678000000000001</v>
      </c>
      <c r="I4" s="10">
        <f t="shared" ref="I4:I16" si="9">H4+H3</f>
        <v>45.11</v>
      </c>
      <c r="J4" s="10">
        <f t="shared" si="3"/>
        <v>45.11</v>
      </c>
      <c r="K4" s="58">
        <f t="shared" ref="K4:K16" si="10">K3+J4</f>
        <v>59.542000000000002</v>
      </c>
      <c r="N4" s="17">
        <v>2</v>
      </c>
      <c r="O4" s="10">
        <v>55.960999999999999</v>
      </c>
      <c r="P4" s="10">
        <f t="shared" si="0"/>
        <v>22.222222222222221</v>
      </c>
      <c r="Q4" s="10">
        <f t="shared" si="1"/>
        <v>6.6290992830844893</v>
      </c>
      <c r="R4" s="58" t="str">
        <f t="shared" si="4"/>
        <v>6.62909928308449,22.2222222222222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15.827</v>
      </c>
      <c r="E5" s="10">
        <f t="shared" si="6"/>
        <v>31.166</v>
      </c>
      <c r="F5" s="10">
        <f t="shared" si="7"/>
        <v>31.166</v>
      </c>
      <c r="G5" s="10">
        <f t="shared" si="8"/>
        <v>87.126999999999995</v>
      </c>
      <c r="H5" s="10">
        <f t="shared" si="2"/>
        <v>47.481000000000002</v>
      </c>
      <c r="I5" s="10">
        <f t="shared" si="9"/>
        <v>78.159000000000006</v>
      </c>
      <c r="J5" s="10">
        <f t="shared" si="3"/>
        <v>78.159000000000006</v>
      </c>
      <c r="K5" s="58">
        <f t="shared" si="10"/>
        <v>137.70100000000002</v>
      </c>
      <c r="N5" s="17">
        <v>3</v>
      </c>
      <c r="O5" s="10">
        <v>87.126999999999995</v>
      </c>
      <c r="P5" s="10">
        <f t="shared" si="0"/>
        <v>33.333333333333329</v>
      </c>
      <c r="Q5" s="10">
        <f t="shared" si="1"/>
        <v>10.321000933459057</v>
      </c>
      <c r="R5" s="58" t="str">
        <f t="shared" si="4"/>
        <v>10.3210009334591,33.3333333333333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15.999000000000001</v>
      </c>
      <c r="E6" s="10">
        <f t="shared" si="6"/>
        <v>31.826000000000001</v>
      </c>
      <c r="F6" s="10">
        <f t="shared" si="7"/>
        <v>31.826000000000001</v>
      </c>
      <c r="G6" s="10">
        <f t="shared" si="8"/>
        <v>118.953</v>
      </c>
      <c r="H6" s="10">
        <f t="shared" si="2"/>
        <v>63.996000000000002</v>
      </c>
      <c r="I6" s="10">
        <f t="shared" si="9"/>
        <v>111.477</v>
      </c>
      <c r="J6" s="10">
        <f t="shared" si="3"/>
        <v>111.477</v>
      </c>
      <c r="K6" s="58">
        <f t="shared" si="10"/>
        <v>249.17800000000003</v>
      </c>
      <c r="N6" s="17">
        <v>4</v>
      </c>
      <c r="O6" s="10">
        <v>118.953</v>
      </c>
      <c r="P6" s="10">
        <f t="shared" si="0"/>
        <v>44.444444444444443</v>
      </c>
      <c r="Q6" s="10">
        <f t="shared" si="1"/>
        <v>14.091085702913624</v>
      </c>
      <c r="R6" s="58" t="str">
        <f t="shared" si="4"/>
        <v>14.0910857029136,44.4444444444444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16</v>
      </c>
      <c r="E7" s="10">
        <f t="shared" si="6"/>
        <v>31.999000000000002</v>
      </c>
      <c r="F7" s="10">
        <f t="shared" si="7"/>
        <v>31.999000000000002</v>
      </c>
      <c r="G7" s="10">
        <f t="shared" si="8"/>
        <v>150.952</v>
      </c>
      <c r="H7" s="10">
        <f t="shared" si="2"/>
        <v>80</v>
      </c>
      <c r="I7" s="10">
        <f t="shared" si="9"/>
        <v>143.99600000000001</v>
      </c>
      <c r="J7" s="10">
        <f t="shared" si="3"/>
        <v>143.99600000000001</v>
      </c>
      <c r="K7" s="58">
        <f t="shared" si="10"/>
        <v>393.17400000000004</v>
      </c>
      <c r="N7" s="17">
        <v>5</v>
      </c>
      <c r="O7" s="10">
        <v>150.952</v>
      </c>
      <c r="P7" s="10">
        <f t="shared" si="0"/>
        <v>55.555555555555557</v>
      </c>
      <c r="Q7" s="10">
        <f t="shared" si="1"/>
        <v>17.881663926308857</v>
      </c>
      <c r="R7" s="58" t="str">
        <f t="shared" si="4"/>
        <v>17.8816639263089,55.5555555555556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16</v>
      </c>
      <c r="E8" s="10">
        <f t="shared" si="6"/>
        <v>32</v>
      </c>
      <c r="F8" s="10">
        <f t="shared" si="7"/>
        <v>32</v>
      </c>
      <c r="G8" s="10">
        <f t="shared" si="8"/>
        <v>182.952</v>
      </c>
      <c r="H8" s="10">
        <f t="shared" si="2"/>
        <v>96</v>
      </c>
      <c r="I8" s="10">
        <f t="shared" si="9"/>
        <v>176</v>
      </c>
      <c r="J8" s="10">
        <f t="shared" si="3"/>
        <v>176</v>
      </c>
      <c r="K8" s="58">
        <f t="shared" si="10"/>
        <v>569.17399999999998</v>
      </c>
      <c r="N8" s="17">
        <v>6</v>
      </c>
      <c r="O8" s="10">
        <v>182.952</v>
      </c>
      <c r="P8" s="10">
        <f t="shared" si="0"/>
        <v>66.666666666666657</v>
      </c>
      <c r="Q8" s="10">
        <f t="shared" si="1"/>
        <v>21.672360608975421</v>
      </c>
      <c r="R8" s="58" t="str">
        <f t="shared" si="4"/>
        <v>21.6723606089754,66.6666666666667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16</v>
      </c>
      <c r="E9" s="10">
        <f t="shared" si="6"/>
        <v>32</v>
      </c>
      <c r="F9" s="10">
        <f t="shared" si="7"/>
        <v>32</v>
      </c>
      <c r="G9" s="10">
        <f t="shared" si="8"/>
        <v>214.952</v>
      </c>
      <c r="H9" s="10">
        <f t="shared" si="2"/>
        <v>112</v>
      </c>
      <c r="I9" s="10">
        <f t="shared" si="9"/>
        <v>208</v>
      </c>
      <c r="J9" s="10">
        <f t="shared" si="3"/>
        <v>208</v>
      </c>
      <c r="K9" s="58">
        <f t="shared" si="10"/>
        <v>777.17399999999998</v>
      </c>
      <c r="N9" s="17">
        <v>7</v>
      </c>
      <c r="O9" s="10">
        <v>214.952</v>
      </c>
      <c r="P9" s="10">
        <f t="shared" si="0"/>
        <v>77.777777777777771</v>
      </c>
      <c r="Q9" s="10">
        <f t="shared" si="1"/>
        <v>25.463057291641988</v>
      </c>
      <c r="R9" s="58" t="str">
        <f t="shared" si="4"/>
        <v>25.463057291642,77.7777777777778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16</v>
      </c>
      <c r="E10" s="10">
        <f t="shared" si="6"/>
        <v>32</v>
      </c>
      <c r="F10" s="10">
        <f t="shared" si="7"/>
        <v>32</v>
      </c>
      <c r="G10" s="10">
        <f t="shared" si="8"/>
        <v>246.952</v>
      </c>
      <c r="H10" s="10">
        <f t="shared" si="2"/>
        <v>128</v>
      </c>
      <c r="I10" s="10">
        <f t="shared" si="9"/>
        <v>240</v>
      </c>
      <c r="J10" s="10">
        <f t="shared" si="3"/>
        <v>240</v>
      </c>
      <c r="K10" s="58">
        <f t="shared" si="10"/>
        <v>1017.174</v>
      </c>
      <c r="N10" s="17">
        <v>8</v>
      </c>
      <c r="O10" s="10">
        <v>246.952</v>
      </c>
      <c r="P10" s="10">
        <f t="shared" si="0"/>
        <v>88.888888888888886</v>
      </c>
      <c r="Q10" s="10">
        <f t="shared" si="1"/>
        <v>29.253753974308552</v>
      </c>
      <c r="R10" s="58" t="str">
        <f t="shared" si="4"/>
        <v>29.2537539743086,88.8888888888889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16</v>
      </c>
      <c r="E11" s="10">
        <f t="shared" si="6"/>
        <v>32</v>
      </c>
      <c r="F11" s="10">
        <f t="shared" si="7"/>
        <v>32</v>
      </c>
      <c r="G11" s="10">
        <f t="shared" si="8"/>
        <v>278.952</v>
      </c>
      <c r="H11" s="10">
        <f t="shared" si="2"/>
        <v>144</v>
      </c>
      <c r="I11" s="10">
        <f t="shared" si="9"/>
        <v>272</v>
      </c>
      <c r="J11" s="10">
        <f t="shared" si="3"/>
        <v>272</v>
      </c>
      <c r="K11" s="58">
        <f t="shared" si="10"/>
        <v>1289.174</v>
      </c>
      <c r="N11" s="17">
        <v>9</v>
      </c>
      <c r="O11" s="10">
        <v>278.952</v>
      </c>
      <c r="P11" s="10">
        <f t="shared" si="0"/>
        <v>100</v>
      </c>
      <c r="Q11" s="10">
        <f t="shared" si="1"/>
        <v>33.044450656975116</v>
      </c>
      <c r="R11" s="58" t="str">
        <f t="shared" si="4"/>
        <v>33.0444506569751,100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16</v>
      </c>
      <c r="E12" s="10">
        <f t="shared" si="6"/>
        <v>32</v>
      </c>
      <c r="F12" s="10">
        <f t="shared" si="7"/>
        <v>32</v>
      </c>
      <c r="G12" s="10">
        <f t="shared" si="8"/>
        <v>310.952</v>
      </c>
      <c r="H12" s="10">
        <f t="shared" si="2"/>
        <v>160</v>
      </c>
      <c r="I12" s="10">
        <f t="shared" si="9"/>
        <v>304</v>
      </c>
      <c r="J12" s="10">
        <f t="shared" si="3"/>
        <v>304</v>
      </c>
      <c r="K12" s="58">
        <f t="shared" si="10"/>
        <v>1593.174</v>
      </c>
      <c r="N12" s="17">
        <v>10</v>
      </c>
      <c r="O12" s="10">
        <v>310.952</v>
      </c>
      <c r="P12" s="10">
        <f t="shared" si="0"/>
        <v>111.11111111111111</v>
      </c>
      <c r="Q12" s="10">
        <f t="shared" si="1"/>
        <v>36.835147339641686</v>
      </c>
      <c r="R12" s="58" t="str">
        <f t="shared" si="4"/>
        <v>36.8351473396417,111.111111111111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32</v>
      </c>
      <c r="F13" s="10">
        <f t="shared" si="7"/>
        <v>32</v>
      </c>
      <c r="G13" s="10">
        <f t="shared" si="8"/>
        <v>342.952</v>
      </c>
      <c r="H13" s="10">
        <f t="shared" si="2"/>
        <v>176</v>
      </c>
      <c r="I13" s="10">
        <f t="shared" si="9"/>
        <v>336</v>
      </c>
      <c r="J13" s="10">
        <f t="shared" si="3"/>
        <v>336</v>
      </c>
      <c r="K13" s="58">
        <f t="shared" si="10"/>
        <v>1929.174</v>
      </c>
      <c r="N13" s="17">
        <v>11</v>
      </c>
      <c r="O13" s="10">
        <v>342.952</v>
      </c>
      <c r="P13" s="10">
        <f t="shared" si="0"/>
        <v>122.22222222222221</v>
      </c>
      <c r="Q13" s="10">
        <f t="shared" si="1"/>
        <v>40.62584402230825</v>
      </c>
      <c r="R13" s="58" t="str">
        <f t="shared" si="4"/>
        <v>40.6258440223083,122.222222222222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374.952</v>
      </c>
      <c r="H14" s="10">
        <f t="shared" si="2"/>
        <v>192</v>
      </c>
      <c r="I14" s="10">
        <f t="shared" si="9"/>
        <v>368</v>
      </c>
      <c r="J14" s="10">
        <f t="shared" si="3"/>
        <v>368</v>
      </c>
      <c r="K14" s="58">
        <f t="shared" si="10"/>
        <v>2297.174</v>
      </c>
      <c r="N14" s="17">
        <v>12</v>
      </c>
      <c r="O14" s="10">
        <v>374.952</v>
      </c>
      <c r="P14" s="10">
        <f t="shared" si="0"/>
        <v>133.33333333333331</v>
      </c>
      <c r="Q14" s="10">
        <f t="shared" si="1"/>
        <v>44.416540704974814</v>
      </c>
      <c r="R14" s="58" t="str">
        <f t="shared" si="4"/>
        <v>44.4165407049748,133.333333333333</v>
      </c>
    </row>
    <row r="15" spans="1:18" x14ac:dyDescent="0.25">
      <c r="A15" s="17" t="s">
        <v>154</v>
      </c>
      <c r="B15" s="10">
        <v>12.81</v>
      </c>
      <c r="C15" s="10">
        <f t="shared" si="5"/>
        <v>0.8100000000000005</v>
      </c>
      <c r="D15" s="11">
        <v>16</v>
      </c>
      <c r="E15" s="10">
        <f t="shared" si="6"/>
        <v>32</v>
      </c>
      <c r="F15" s="10">
        <f t="shared" si="7"/>
        <v>25.920000000000016</v>
      </c>
      <c r="G15" s="10">
        <f t="shared" si="8"/>
        <v>400.87200000000001</v>
      </c>
      <c r="H15" s="10">
        <f t="shared" si="2"/>
        <v>204.96</v>
      </c>
      <c r="I15" s="10">
        <f t="shared" si="9"/>
        <v>396.96000000000004</v>
      </c>
      <c r="J15" s="10">
        <f t="shared" si="3"/>
        <v>321.53760000000023</v>
      </c>
      <c r="K15" s="58">
        <f t="shared" si="10"/>
        <v>2618.7116000000001</v>
      </c>
      <c r="N15" s="17">
        <v>12.81</v>
      </c>
      <c r="O15" s="10">
        <v>400.87200000000001</v>
      </c>
      <c r="P15" s="10">
        <f t="shared" si="0"/>
        <v>142.33333333333334</v>
      </c>
      <c r="Q15" s="10">
        <f t="shared" si="1"/>
        <v>47.487005017934734</v>
      </c>
      <c r="R15" s="58" t="str">
        <f t="shared" si="4"/>
        <v>47.4870050179347,142.333333333333</v>
      </c>
    </row>
    <row r="16" spans="1:18" ht="15.75" thickBot="1" x14ac:dyDescent="0.3">
      <c r="A16" s="19" t="s">
        <v>5</v>
      </c>
      <c r="B16" s="34">
        <v>13.39</v>
      </c>
      <c r="C16" s="34">
        <f t="shared" si="5"/>
        <v>0.58000000000000007</v>
      </c>
      <c r="D16" s="34">
        <v>16</v>
      </c>
      <c r="E16" s="34">
        <f t="shared" si="6"/>
        <v>32</v>
      </c>
      <c r="F16" s="34">
        <f t="shared" si="7"/>
        <v>18.560000000000002</v>
      </c>
      <c r="G16" s="34">
        <f t="shared" si="8"/>
        <v>419.43200000000002</v>
      </c>
      <c r="H16" s="34">
        <f t="shared" si="2"/>
        <v>214.24</v>
      </c>
      <c r="I16" s="34">
        <f t="shared" si="9"/>
        <v>419.20000000000005</v>
      </c>
      <c r="J16" s="34">
        <f t="shared" si="3"/>
        <v>243.13600000000005</v>
      </c>
      <c r="K16" s="59">
        <f t="shared" si="10"/>
        <v>2861.8476000000001</v>
      </c>
      <c r="N16" s="19">
        <v>13.39</v>
      </c>
      <c r="O16" s="34">
        <v>419.43200000000002</v>
      </c>
      <c r="P16" s="34">
        <f t="shared" si="0"/>
        <v>148.77777777777777</v>
      </c>
      <c r="Q16" s="34">
        <f t="shared" si="1"/>
        <v>49.685609093881347</v>
      </c>
      <c r="R16" s="59" t="str">
        <f t="shared" si="4"/>
        <v>49.6856090938813,148.777777777778</v>
      </c>
    </row>
    <row r="18" spans="14:21" x14ac:dyDescent="0.25">
      <c r="O18" s="4" t="s">
        <v>155</v>
      </c>
      <c r="Q18" s="4" t="s">
        <v>156</v>
      </c>
      <c r="T18" s="4" t="s">
        <v>159</v>
      </c>
    </row>
    <row r="19" spans="14:21" x14ac:dyDescent="0.25">
      <c r="N19" s="4">
        <v>18</v>
      </c>
      <c r="O19" s="4">
        <v>200</v>
      </c>
      <c r="Q19" s="4">
        <v>422.08600000000001</v>
      </c>
      <c r="R19" s="4">
        <v>50</v>
      </c>
      <c r="T19" s="4">
        <v>2876.7204000000002</v>
      </c>
      <c r="U19" s="4">
        <v>50</v>
      </c>
    </row>
    <row r="20" spans="14:21" x14ac:dyDescent="0.25">
      <c r="O20" s="4">
        <v>11.111111111111111</v>
      </c>
      <c r="R20" s="4">
        <v>0.11845927133333017</v>
      </c>
      <c r="U20" s="4">
        <v>1.7380903615102809E-2</v>
      </c>
    </row>
    <row r="21" spans="14:21" ht="15.75" thickBot="1" x14ac:dyDescent="0.3"/>
    <row r="22" spans="14:21" ht="15.75" thickBot="1" x14ac:dyDescent="0.3">
      <c r="N22" s="5" t="s">
        <v>4</v>
      </c>
      <c r="O22" s="5" t="s">
        <v>153</v>
      </c>
      <c r="P22" s="5" t="s">
        <v>155</v>
      </c>
      <c r="Q22" s="5" t="s">
        <v>159</v>
      </c>
      <c r="R22" s="5" t="s">
        <v>157</v>
      </c>
      <c r="S22" s="35"/>
    </row>
    <row r="23" spans="14:21" x14ac:dyDescent="0.25">
      <c r="N23" s="42">
        <v>0</v>
      </c>
      <c r="O23" s="51">
        <v>0</v>
      </c>
      <c r="P23" s="51">
        <f>N23*$O$20</f>
        <v>0</v>
      </c>
      <c r="Q23" s="51">
        <f>O23*$U$20</f>
        <v>0</v>
      </c>
      <c r="R23" s="43" t="str">
        <f>CONCATENATE(Q23,",",P23)</f>
        <v>0,0</v>
      </c>
    </row>
    <row r="24" spans="14:21" x14ac:dyDescent="0.25">
      <c r="N24" s="17">
        <v>1</v>
      </c>
      <c r="O24" s="10">
        <v>14.432</v>
      </c>
      <c r="P24" s="10">
        <f t="shared" ref="P24:P37" si="11">N24*$O$20</f>
        <v>11.111111111111111</v>
      </c>
      <c r="Q24" s="10">
        <f t="shared" ref="Q24:Q37" si="12">O24*$U$20</f>
        <v>0.25084120097316376</v>
      </c>
      <c r="R24" s="58" t="str">
        <f t="shared" ref="R24:R37" si="13">CONCATENATE(Q24,",",P24)</f>
        <v>0.250841200973164,11.1111111111111</v>
      </c>
    </row>
    <row r="25" spans="14:21" x14ac:dyDescent="0.25">
      <c r="N25" s="17">
        <v>2</v>
      </c>
      <c r="O25" s="10">
        <v>59.542000000000002</v>
      </c>
      <c r="P25" s="10">
        <f t="shared" si="11"/>
        <v>22.222222222222221</v>
      </c>
      <c r="Q25" s="10">
        <f t="shared" si="12"/>
        <v>1.0348937630504516</v>
      </c>
      <c r="R25" s="58" t="str">
        <f t="shared" si="13"/>
        <v>1.03489376305045,22.2222222222222</v>
      </c>
    </row>
    <row r="26" spans="14:21" x14ac:dyDescent="0.25">
      <c r="N26" s="17">
        <v>3</v>
      </c>
      <c r="O26" s="10">
        <v>137.70100000000002</v>
      </c>
      <c r="P26" s="10">
        <f t="shared" si="11"/>
        <v>33.333333333333329</v>
      </c>
      <c r="Q26" s="10">
        <f t="shared" si="12"/>
        <v>2.3933678087032724</v>
      </c>
      <c r="R26" s="58" t="str">
        <f t="shared" si="13"/>
        <v>2.39336780870327,33.3333333333333</v>
      </c>
    </row>
    <row r="27" spans="14:21" x14ac:dyDescent="0.25">
      <c r="N27" s="17">
        <v>4</v>
      </c>
      <c r="O27" s="10">
        <v>249.17800000000003</v>
      </c>
      <c r="P27" s="10">
        <f t="shared" si="11"/>
        <v>44.444444444444443</v>
      </c>
      <c r="Q27" s="10">
        <f t="shared" si="12"/>
        <v>4.3309388010040877</v>
      </c>
      <c r="R27" s="58" t="str">
        <f t="shared" si="13"/>
        <v>4.33093880100409,44.4444444444444</v>
      </c>
    </row>
    <row r="28" spans="14:21" x14ac:dyDescent="0.25">
      <c r="N28" s="17">
        <v>5</v>
      </c>
      <c r="O28" s="10">
        <v>393.17400000000004</v>
      </c>
      <c r="P28" s="10">
        <f t="shared" si="11"/>
        <v>55.555555555555557</v>
      </c>
      <c r="Q28" s="10">
        <f t="shared" si="12"/>
        <v>6.8337193979644324</v>
      </c>
      <c r="R28" s="58" t="str">
        <f t="shared" si="13"/>
        <v>6.83371939796443,55.5555555555556</v>
      </c>
    </row>
    <row r="29" spans="14:21" x14ac:dyDescent="0.25">
      <c r="N29" s="17">
        <v>6</v>
      </c>
      <c r="O29" s="10">
        <v>569.17399999999998</v>
      </c>
      <c r="P29" s="10">
        <f t="shared" si="11"/>
        <v>66.666666666666657</v>
      </c>
      <c r="Q29" s="10">
        <f t="shared" si="12"/>
        <v>9.8927584342225252</v>
      </c>
      <c r="R29" s="58" t="str">
        <f t="shared" si="13"/>
        <v>9.89275843422253,66.6666666666667</v>
      </c>
    </row>
    <row r="30" spans="14:21" x14ac:dyDescent="0.25">
      <c r="N30" s="17">
        <v>7</v>
      </c>
      <c r="O30" s="10">
        <v>777.17399999999998</v>
      </c>
      <c r="P30" s="10">
        <f t="shared" si="11"/>
        <v>77.777777777777771</v>
      </c>
      <c r="Q30" s="10">
        <f t="shared" si="12"/>
        <v>13.50798638616391</v>
      </c>
      <c r="R30" s="58" t="str">
        <f t="shared" si="13"/>
        <v>13.5079863861639,77.7777777777778</v>
      </c>
    </row>
    <row r="31" spans="14:21" x14ac:dyDescent="0.25">
      <c r="N31" s="17">
        <v>8</v>
      </c>
      <c r="O31" s="10">
        <v>1017.174</v>
      </c>
      <c r="P31" s="10">
        <f t="shared" si="11"/>
        <v>88.888888888888886</v>
      </c>
      <c r="Q31" s="10">
        <f t="shared" si="12"/>
        <v>17.679403253788585</v>
      </c>
      <c r="R31" s="58" t="str">
        <f t="shared" si="13"/>
        <v>17.6794032537886,88.8888888888889</v>
      </c>
    </row>
    <row r="32" spans="14:21" x14ac:dyDescent="0.25">
      <c r="N32" s="17">
        <v>9</v>
      </c>
      <c r="O32" s="10">
        <v>1289.174</v>
      </c>
      <c r="P32" s="10">
        <f t="shared" si="11"/>
        <v>100</v>
      </c>
      <c r="Q32" s="10">
        <f t="shared" si="12"/>
        <v>22.407009037096547</v>
      </c>
      <c r="R32" s="58" t="str">
        <f t="shared" si="13"/>
        <v>22.4070090370965,100</v>
      </c>
    </row>
    <row r="33" spans="14:18" x14ac:dyDescent="0.25">
      <c r="N33" s="17">
        <v>10</v>
      </c>
      <c r="O33" s="10">
        <v>1593.174</v>
      </c>
      <c r="P33" s="10">
        <f t="shared" si="11"/>
        <v>111.11111111111111</v>
      </c>
      <c r="Q33" s="10">
        <f t="shared" si="12"/>
        <v>27.690803736087801</v>
      </c>
      <c r="R33" s="58" t="str">
        <f t="shared" si="13"/>
        <v>27.6908037360878,111.111111111111</v>
      </c>
    </row>
    <row r="34" spans="14:18" x14ac:dyDescent="0.25">
      <c r="N34" s="17">
        <v>11</v>
      </c>
      <c r="O34" s="10">
        <v>1929.174</v>
      </c>
      <c r="P34" s="10">
        <f t="shared" si="11"/>
        <v>122.22222222222221</v>
      </c>
      <c r="Q34" s="10">
        <f t="shared" si="12"/>
        <v>33.530787350762346</v>
      </c>
      <c r="R34" s="58" t="str">
        <f t="shared" si="13"/>
        <v>33.5307873507623,122.222222222222</v>
      </c>
    </row>
    <row r="35" spans="14:18" x14ac:dyDescent="0.25">
      <c r="N35" s="17">
        <v>12</v>
      </c>
      <c r="O35" s="10">
        <v>2297.174</v>
      </c>
      <c r="P35" s="10">
        <f t="shared" si="11"/>
        <v>133.33333333333331</v>
      </c>
      <c r="Q35" s="10">
        <f t="shared" si="12"/>
        <v>39.926959881120176</v>
      </c>
      <c r="R35" s="58" t="str">
        <f t="shared" si="13"/>
        <v>39.9269598811202,133.333333333333</v>
      </c>
    </row>
    <row r="36" spans="14:18" x14ac:dyDescent="0.25">
      <c r="N36" s="17">
        <v>12.81</v>
      </c>
      <c r="O36" s="10">
        <v>2618.7116000000001</v>
      </c>
      <c r="P36" s="10">
        <f t="shared" si="11"/>
        <v>142.33333333333334</v>
      </c>
      <c r="Q36" s="10">
        <f t="shared" si="12"/>
        <v>45.515573915351659</v>
      </c>
      <c r="R36" s="58" t="str">
        <f t="shared" si="13"/>
        <v>45.5155739153517,142.333333333333</v>
      </c>
    </row>
    <row r="37" spans="14:18" ht="15.75" thickBot="1" x14ac:dyDescent="0.3">
      <c r="N37" s="19">
        <v>13.39</v>
      </c>
      <c r="O37" s="34">
        <v>2861.8476000000001</v>
      </c>
      <c r="P37" s="34">
        <f t="shared" si="11"/>
        <v>148.77777777777777</v>
      </c>
      <c r="Q37" s="34">
        <f t="shared" si="12"/>
        <v>49.741497296713298</v>
      </c>
      <c r="R37" s="59" t="str">
        <f t="shared" si="13"/>
        <v>49.7414972967133,148.777777777778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D4BA-3A62-474C-B02E-515F09BFA681}">
  <dimension ref="A1:R42"/>
  <sheetViews>
    <sheetView zoomScale="85" zoomScaleNormal="85" workbookViewId="0">
      <selection activeCell="T43" sqref="T43"/>
    </sheetView>
  </sheetViews>
  <sheetFormatPr defaultRowHeight="15" x14ac:dyDescent="0.25"/>
  <cols>
    <col min="1" max="9" width="9.140625" style="4"/>
    <col min="10" max="10" width="11" style="4" bestFit="1" customWidth="1"/>
    <col min="11" max="14" width="9.140625" style="4"/>
    <col min="15" max="15" width="12.28515625" style="4" customWidth="1"/>
    <col min="16" max="16" width="14.140625" style="4" customWidth="1"/>
    <col min="17" max="17" width="14.5703125" style="4" customWidth="1"/>
    <col min="18" max="18" width="34.5703125" style="4" customWidth="1"/>
    <col min="19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51">
        <v>12.2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>N2*$O$20</f>
        <v>0</v>
      </c>
      <c r="Q2" s="51">
        <f>O2*$R$20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0">
        <v>14.769</v>
      </c>
      <c r="E3" s="10">
        <f>D3+D2</f>
        <v>26.969000000000001</v>
      </c>
      <c r="F3" s="10">
        <f>C3*E3</f>
        <v>26.969000000000001</v>
      </c>
      <c r="G3" s="10">
        <f>G2+F3</f>
        <v>26.969000000000001</v>
      </c>
      <c r="H3" s="10">
        <f t="shared" ref="H3:H16" si="0">B3*D3</f>
        <v>14.769</v>
      </c>
      <c r="I3" s="10">
        <f>H3+H2</f>
        <v>14.769</v>
      </c>
      <c r="J3" s="10">
        <f t="shared" ref="J3:J16" si="1">C3*I3</f>
        <v>14.769</v>
      </c>
      <c r="K3" s="58">
        <f>K2+J3</f>
        <v>14.769</v>
      </c>
      <c r="N3" s="17">
        <v>1</v>
      </c>
      <c r="O3" s="10">
        <v>26.969000000000001</v>
      </c>
      <c r="P3" s="10">
        <f t="shared" ref="P3:P16" si="2">N3*$O$20</f>
        <v>11.111111111111111</v>
      </c>
      <c r="Q3" s="10">
        <f t="shared" ref="Q3:Q16" si="3">O3*$R$20</f>
        <v>3.1947280885885818</v>
      </c>
      <c r="R3" s="58" t="str">
        <f t="shared" ref="R3:R16" si="4">CONCATENATE(Q3,",",P3)</f>
        <v>3.19472808858858,11.1111111111111</v>
      </c>
    </row>
    <row r="4" spans="1:18" x14ac:dyDescent="0.25">
      <c r="A4" s="17">
        <v>2</v>
      </c>
      <c r="B4" s="10">
        <v>2</v>
      </c>
      <c r="C4" s="10">
        <f t="shared" ref="C4:C16" si="5">B4-B3</f>
        <v>1</v>
      </c>
      <c r="D4" s="10">
        <v>15.542</v>
      </c>
      <c r="E4" s="10">
        <f t="shared" ref="E4:E16" si="6">D4+D3</f>
        <v>30.311</v>
      </c>
      <c r="F4" s="10">
        <f t="shared" ref="F4:F16" si="7">C4*E4</f>
        <v>30.311</v>
      </c>
      <c r="G4" s="10">
        <f t="shared" ref="G4:G16" si="8">G3+F4</f>
        <v>57.28</v>
      </c>
      <c r="H4" s="10">
        <f t="shared" si="0"/>
        <v>31.084</v>
      </c>
      <c r="I4" s="10">
        <f t="shared" ref="I4:I16" si="9">H4+H3</f>
        <v>45.853000000000002</v>
      </c>
      <c r="J4" s="10">
        <f t="shared" si="1"/>
        <v>45.853000000000002</v>
      </c>
      <c r="K4" s="58">
        <f t="shared" ref="K4:K16" si="10">K3+J4</f>
        <v>60.622</v>
      </c>
      <c r="N4" s="17">
        <v>2</v>
      </c>
      <c r="O4" s="10">
        <v>57.28</v>
      </c>
      <c r="P4" s="10">
        <f t="shared" si="2"/>
        <v>22.222222222222221</v>
      </c>
      <c r="Q4" s="10">
        <f t="shared" si="3"/>
        <v>6.7853470619731526</v>
      </c>
      <c r="R4" s="58" t="str">
        <f t="shared" si="4"/>
        <v>6.78534706197315,22.2222222222222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0">
        <v>15.912000000000001</v>
      </c>
      <c r="E5" s="10">
        <f t="shared" si="6"/>
        <v>31.454000000000001</v>
      </c>
      <c r="F5" s="10">
        <f t="shared" si="7"/>
        <v>31.454000000000001</v>
      </c>
      <c r="G5" s="10">
        <f t="shared" si="8"/>
        <v>88.734000000000009</v>
      </c>
      <c r="H5" s="10">
        <f t="shared" si="0"/>
        <v>47.736000000000004</v>
      </c>
      <c r="I5" s="10">
        <f t="shared" si="9"/>
        <v>78.820000000000007</v>
      </c>
      <c r="J5" s="10">
        <f t="shared" si="1"/>
        <v>78.820000000000007</v>
      </c>
      <c r="K5" s="58">
        <f t="shared" si="10"/>
        <v>139.44200000000001</v>
      </c>
      <c r="N5" s="17">
        <v>3</v>
      </c>
      <c r="O5" s="10">
        <v>88.734000000000009</v>
      </c>
      <c r="P5" s="10">
        <f t="shared" si="2"/>
        <v>33.333333333333329</v>
      </c>
      <c r="Q5" s="10">
        <f t="shared" si="3"/>
        <v>10.51136498249172</v>
      </c>
      <c r="R5" s="58" t="str">
        <f t="shared" si="4"/>
        <v>10.5113649824917,33.3333333333333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0">
        <v>16</v>
      </c>
      <c r="E6" s="10">
        <f t="shared" si="6"/>
        <v>31.911999999999999</v>
      </c>
      <c r="F6" s="10">
        <f t="shared" si="7"/>
        <v>31.911999999999999</v>
      </c>
      <c r="G6" s="10">
        <f t="shared" si="8"/>
        <v>120.64600000000002</v>
      </c>
      <c r="H6" s="10">
        <f t="shared" si="0"/>
        <v>64</v>
      </c>
      <c r="I6" s="10">
        <f t="shared" si="9"/>
        <v>111.736</v>
      </c>
      <c r="J6" s="10">
        <f t="shared" si="1"/>
        <v>111.736</v>
      </c>
      <c r="K6" s="58">
        <f t="shared" si="10"/>
        <v>251.178</v>
      </c>
      <c r="N6" s="17">
        <v>4</v>
      </c>
      <c r="O6" s="10">
        <v>120.64600000000002</v>
      </c>
      <c r="P6" s="10">
        <f t="shared" si="2"/>
        <v>44.444444444444443</v>
      </c>
      <c r="Q6" s="10">
        <f t="shared" si="3"/>
        <v>14.291637249280955</v>
      </c>
      <c r="R6" s="58" t="str">
        <f t="shared" si="4"/>
        <v>14.291637249281,44.4444444444444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0">
        <v>16</v>
      </c>
      <c r="E7" s="10">
        <f t="shared" si="6"/>
        <v>32</v>
      </c>
      <c r="F7" s="10">
        <f t="shared" si="7"/>
        <v>32</v>
      </c>
      <c r="G7" s="10">
        <f t="shared" si="8"/>
        <v>152.64600000000002</v>
      </c>
      <c r="H7" s="10">
        <f t="shared" si="0"/>
        <v>80</v>
      </c>
      <c r="I7" s="10">
        <f t="shared" si="9"/>
        <v>144</v>
      </c>
      <c r="J7" s="10">
        <f t="shared" si="1"/>
        <v>144</v>
      </c>
      <c r="K7" s="58">
        <f t="shared" si="10"/>
        <v>395.178</v>
      </c>
      <c r="N7" s="17">
        <v>5</v>
      </c>
      <c r="O7" s="10">
        <v>152.64600000000002</v>
      </c>
      <c r="P7" s="10">
        <f t="shared" si="2"/>
        <v>55.555555555555557</v>
      </c>
      <c r="Q7" s="10">
        <f t="shared" si="3"/>
        <v>18.08233393194752</v>
      </c>
      <c r="R7" s="58" t="str">
        <f t="shared" si="4"/>
        <v>18.0823339319475,55.5555555555556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0">
        <v>16</v>
      </c>
      <c r="E8" s="10">
        <f t="shared" si="6"/>
        <v>32</v>
      </c>
      <c r="F8" s="10">
        <f t="shared" si="7"/>
        <v>32</v>
      </c>
      <c r="G8" s="10">
        <f t="shared" si="8"/>
        <v>184.64600000000002</v>
      </c>
      <c r="H8" s="10">
        <f t="shared" si="0"/>
        <v>96</v>
      </c>
      <c r="I8" s="10">
        <f t="shared" si="9"/>
        <v>176</v>
      </c>
      <c r="J8" s="10">
        <f t="shared" si="1"/>
        <v>176</v>
      </c>
      <c r="K8" s="58">
        <f t="shared" si="10"/>
        <v>571.178</v>
      </c>
      <c r="N8" s="17">
        <v>6</v>
      </c>
      <c r="O8" s="10">
        <v>184.64600000000002</v>
      </c>
      <c r="P8" s="10">
        <f t="shared" si="2"/>
        <v>66.666666666666657</v>
      </c>
      <c r="Q8" s="10">
        <f t="shared" si="3"/>
        <v>21.873030614614084</v>
      </c>
      <c r="R8" s="58" t="str">
        <f t="shared" si="4"/>
        <v>21.8730306146141,66.6666666666667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0">
        <v>16</v>
      </c>
      <c r="E9" s="10">
        <f t="shared" si="6"/>
        <v>32</v>
      </c>
      <c r="F9" s="10">
        <f t="shared" si="7"/>
        <v>32</v>
      </c>
      <c r="G9" s="10">
        <f t="shared" si="8"/>
        <v>216.64600000000002</v>
      </c>
      <c r="H9" s="10">
        <f t="shared" si="0"/>
        <v>112</v>
      </c>
      <c r="I9" s="10">
        <f t="shared" si="9"/>
        <v>208</v>
      </c>
      <c r="J9" s="10">
        <f t="shared" si="1"/>
        <v>208</v>
      </c>
      <c r="K9" s="58">
        <f t="shared" si="10"/>
        <v>779.178</v>
      </c>
      <c r="N9" s="17">
        <v>7</v>
      </c>
      <c r="O9" s="10">
        <v>216.64600000000002</v>
      </c>
      <c r="P9" s="10">
        <f t="shared" si="2"/>
        <v>77.777777777777771</v>
      </c>
      <c r="Q9" s="10">
        <f t="shared" si="3"/>
        <v>25.663727297280651</v>
      </c>
      <c r="R9" s="58" t="str">
        <f t="shared" si="4"/>
        <v>25.6637272972807,77.7777777777778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0">
        <v>16</v>
      </c>
      <c r="E10" s="10">
        <f t="shared" si="6"/>
        <v>32</v>
      </c>
      <c r="F10" s="10">
        <f t="shared" si="7"/>
        <v>32</v>
      </c>
      <c r="G10" s="10">
        <f t="shared" si="8"/>
        <v>248.64600000000002</v>
      </c>
      <c r="H10" s="10">
        <f t="shared" si="0"/>
        <v>128</v>
      </c>
      <c r="I10" s="10">
        <f t="shared" si="9"/>
        <v>240</v>
      </c>
      <c r="J10" s="10">
        <f t="shared" si="1"/>
        <v>240</v>
      </c>
      <c r="K10" s="58">
        <f t="shared" si="10"/>
        <v>1019.178</v>
      </c>
      <c r="N10" s="17">
        <v>8</v>
      </c>
      <c r="O10" s="10">
        <v>248.64600000000002</v>
      </c>
      <c r="P10" s="10">
        <f t="shared" si="2"/>
        <v>88.888888888888886</v>
      </c>
      <c r="Q10" s="10">
        <f t="shared" si="3"/>
        <v>29.454423979947215</v>
      </c>
      <c r="R10" s="58" t="str">
        <f t="shared" si="4"/>
        <v>29.4544239799472,88.8888888888889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0">
        <v>16</v>
      </c>
      <c r="E11" s="10">
        <f t="shared" si="6"/>
        <v>32</v>
      </c>
      <c r="F11" s="10">
        <f t="shared" si="7"/>
        <v>32</v>
      </c>
      <c r="G11" s="10">
        <f t="shared" si="8"/>
        <v>280.64600000000002</v>
      </c>
      <c r="H11" s="10">
        <f t="shared" si="0"/>
        <v>144</v>
      </c>
      <c r="I11" s="10">
        <f t="shared" si="9"/>
        <v>272</v>
      </c>
      <c r="J11" s="10">
        <f t="shared" si="1"/>
        <v>272</v>
      </c>
      <c r="K11" s="58">
        <f t="shared" si="10"/>
        <v>1291.1779999999999</v>
      </c>
      <c r="N11" s="17">
        <v>9</v>
      </c>
      <c r="O11" s="10">
        <v>280.64600000000002</v>
      </c>
      <c r="P11" s="10">
        <f t="shared" si="2"/>
        <v>100</v>
      </c>
      <c r="Q11" s="10">
        <f t="shared" si="3"/>
        <v>33.245120662613779</v>
      </c>
      <c r="R11" s="58" t="str">
        <f t="shared" si="4"/>
        <v>33.2451206626138,100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0">
        <v>16</v>
      </c>
      <c r="E12" s="10">
        <f t="shared" si="6"/>
        <v>32</v>
      </c>
      <c r="F12" s="10">
        <f t="shared" si="7"/>
        <v>32</v>
      </c>
      <c r="G12" s="10">
        <f t="shared" si="8"/>
        <v>312.64600000000002</v>
      </c>
      <c r="H12" s="10">
        <f t="shared" si="0"/>
        <v>160</v>
      </c>
      <c r="I12" s="10">
        <f t="shared" si="9"/>
        <v>304</v>
      </c>
      <c r="J12" s="10">
        <f t="shared" si="1"/>
        <v>304</v>
      </c>
      <c r="K12" s="58">
        <f t="shared" si="10"/>
        <v>1595.1779999999999</v>
      </c>
      <c r="N12" s="17">
        <v>10</v>
      </c>
      <c r="O12" s="10">
        <v>312.64600000000002</v>
      </c>
      <c r="P12" s="10">
        <f t="shared" si="2"/>
        <v>111.11111111111111</v>
      </c>
      <c r="Q12" s="10">
        <f t="shared" si="3"/>
        <v>37.03581734528035</v>
      </c>
      <c r="R12" s="58" t="str">
        <f t="shared" si="4"/>
        <v>37.0358173452803,111.111111111111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0">
        <v>16</v>
      </c>
      <c r="E13" s="10">
        <f t="shared" si="6"/>
        <v>32</v>
      </c>
      <c r="F13" s="10">
        <f t="shared" si="7"/>
        <v>32</v>
      </c>
      <c r="G13" s="10">
        <f t="shared" si="8"/>
        <v>344.64600000000002</v>
      </c>
      <c r="H13" s="10">
        <f t="shared" si="0"/>
        <v>176</v>
      </c>
      <c r="I13" s="10">
        <f t="shared" si="9"/>
        <v>336</v>
      </c>
      <c r="J13" s="10">
        <f t="shared" si="1"/>
        <v>336</v>
      </c>
      <c r="K13" s="58">
        <f t="shared" si="10"/>
        <v>1931.1779999999999</v>
      </c>
      <c r="N13" s="17">
        <v>11</v>
      </c>
      <c r="O13" s="10">
        <v>344.64600000000002</v>
      </c>
      <c r="P13" s="10">
        <f t="shared" si="2"/>
        <v>122.22222222222221</v>
      </c>
      <c r="Q13" s="10">
        <f t="shared" si="3"/>
        <v>40.826514027946914</v>
      </c>
      <c r="R13" s="58" t="str">
        <f t="shared" si="4"/>
        <v>40.8265140279469,122.222222222222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0">
        <v>16</v>
      </c>
      <c r="E14" s="10">
        <f t="shared" si="6"/>
        <v>32</v>
      </c>
      <c r="F14" s="10">
        <f t="shared" si="7"/>
        <v>32</v>
      </c>
      <c r="G14" s="10">
        <f t="shared" si="8"/>
        <v>376.64600000000002</v>
      </c>
      <c r="H14" s="10">
        <f t="shared" si="0"/>
        <v>192</v>
      </c>
      <c r="I14" s="10">
        <f t="shared" si="9"/>
        <v>368</v>
      </c>
      <c r="J14" s="10">
        <f t="shared" si="1"/>
        <v>368</v>
      </c>
      <c r="K14" s="58">
        <f t="shared" si="10"/>
        <v>2299.1779999999999</v>
      </c>
      <c r="N14" s="17">
        <v>12</v>
      </c>
      <c r="O14" s="10">
        <v>376.64600000000002</v>
      </c>
      <c r="P14" s="10">
        <f t="shared" si="2"/>
        <v>133.33333333333331</v>
      </c>
      <c r="Q14" s="10">
        <f t="shared" si="3"/>
        <v>44.617210710613477</v>
      </c>
      <c r="R14" s="58" t="str">
        <f t="shared" si="4"/>
        <v>44.6172107106135,133.333333333333</v>
      </c>
    </row>
    <row r="15" spans="1:18" x14ac:dyDescent="0.25">
      <c r="A15" s="17" t="s">
        <v>154</v>
      </c>
      <c r="B15" s="10">
        <v>12.76</v>
      </c>
      <c r="C15" s="10">
        <f t="shared" si="5"/>
        <v>0.75999999999999979</v>
      </c>
      <c r="D15" s="10">
        <v>16</v>
      </c>
      <c r="E15" s="10">
        <f t="shared" si="6"/>
        <v>32</v>
      </c>
      <c r="F15" s="10">
        <f t="shared" si="7"/>
        <v>24.319999999999993</v>
      </c>
      <c r="G15" s="10">
        <f t="shared" si="8"/>
        <v>400.96600000000001</v>
      </c>
      <c r="H15" s="10">
        <f t="shared" si="0"/>
        <v>204.16</v>
      </c>
      <c r="I15" s="10">
        <f t="shared" si="9"/>
        <v>396.15999999999997</v>
      </c>
      <c r="J15" s="10">
        <f t="shared" si="1"/>
        <v>301.08159999999987</v>
      </c>
      <c r="K15" s="58">
        <f t="shared" si="10"/>
        <v>2600.2595999999999</v>
      </c>
      <c r="N15" s="17">
        <v>12.76</v>
      </c>
      <c r="O15" s="10">
        <v>400.96600000000001</v>
      </c>
      <c r="P15" s="10">
        <f t="shared" si="2"/>
        <v>141.77777777777777</v>
      </c>
      <c r="Q15" s="10">
        <f t="shared" si="3"/>
        <v>47.498140189440065</v>
      </c>
      <c r="R15" s="58" t="str">
        <f t="shared" si="4"/>
        <v>47.4981401894401,141.777777777778</v>
      </c>
    </row>
    <row r="16" spans="1:18" ht="15.75" thickBot="1" x14ac:dyDescent="0.3">
      <c r="A16" s="19" t="s">
        <v>5</v>
      </c>
      <c r="B16" s="34">
        <v>13.42</v>
      </c>
      <c r="C16" s="34">
        <f t="shared" si="5"/>
        <v>0.66000000000000014</v>
      </c>
      <c r="D16" s="34">
        <v>16</v>
      </c>
      <c r="E16" s="34">
        <f t="shared" si="6"/>
        <v>32</v>
      </c>
      <c r="F16" s="34">
        <f t="shared" si="7"/>
        <v>21.120000000000005</v>
      </c>
      <c r="G16" s="34">
        <f t="shared" si="8"/>
        <v>422.08600000000001</v>
      </c>
      <c r="H16" s="34">
        <f t="shared" si="0"/>
        <v>214.72</v>
      </c>
      <c r="I16" s="34">
        <f t="shared" si="9"/>
        <v>418.88</v>
      </c>
      <c r="J16" s="34">
        <f t="shared" si="1"/>
        <v>276.46080000000006</v>
      </c>
      <c r="K16" s="59">
        <f t="shared" si="10"/>
        <v>2876.7204000000002</v>
      </c>
      <c r="N16" s="19">
        <v>13.42</v>
      </c>
      <c r="O16" s="34">
        <v>422.08600000000001</v>
      </c>
      <c r="P16" s="34">
        <f t="shared" si="2"/>
        <v>149.11111111111111</v>
      </c>
      <c r="Q16" s="34">
        <f t="shared" si="3"/>
        <v>50</v>
      </c>
      <c r="R16" s="59" t="str">
        <f t="shared" si="4"/>
        <v>50,149.111111111111</v>
      </c>
    </row>
    <row r="17" spans="1:1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</row>
    <row r="18" spans="1:18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O18" s="4" t="s">
        <v>155</v>
      </c>
      <c r="Q18" s="4" t="s">
        <v>156</v>
      </c>
    </row>
    <row r="19" spans="1:18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N19" s="4">
        <v>18</v>
      </c>
      <c r="O19" s="4">
        <v>200</v>
      </c>
      <c r="Q19" s="4">
        <f>O16</f>
        <v>422.08600000000001</v>
      </c>
      <c r="R19" s="4">
        <v>50</v>
      </c>
    </row>
    <row r="20" spans="1:18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O20" s="4">
        <f>O19/N19</f>
        <v>11.111111111111111</v>
      </c>
      <c r="R20" s="4">
        <f>R19/Q19</f>
        <v>0.11845927133333017</v>
      </c>
    </row>
    <row r="21" spans="1:18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8" ht="15.75" thickBot="1" x14ac:dyDescent="0.3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</row>
    <row r="23" spans="1:18" ht="15.75" thickBot="1" x14ac:dyDescent="0.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N23" s="5" t="s">
        <v>4</v>
      </c>
      <c r="O23" s="5" t="s">
        <v>153</v>
      </c>
      <c r="P23" s="5" t="s">
        <v>155</v>
      </c>
      <c r="Q23" s="5" t="s">
        <v>156</v>
      </c>
      <c r="R23" s="5" t="s">
        <v>157</v>
      </c>
    </row>
    <row r="24" spans="1:18" x14ac:dyDescent="0.25">
      <c r="N24" s="42">
        <v>0</v>
      </c>
      <c r="O24" s="51">
        <v>0</v>
      </c>
      <c r="P24" s="51">
        <f>N24*$O$20</f>
        <v>0</v>
      </c>
      <c r="Q24" s="51">
        <f>O24*$R$42</f>
        <v>0</v>
      </c>
      <c r="R24" s="43" t="str">
        <f>CONCATENATE(Q24,",",P24)</f>
        <v>0,0</v>
      </c>
    </row>
    <row r="25" spans="1:18" x14ac:dyDescent="0.25">
      <c r="N25" s="17">
        <v>1</v>
      </c>
      <c r="O25" s="10">
        <v>14.769</v>
      </c>
      <c r="P25" s="10">
        <f t="shared" ref="P25:P38" si="11">N25*$O$20</f>
        <v>11.111111111111111</v>
      </c>
      <c r="Q25" s="10">
        <f t="shared" ref="Q25:Q38" si="12">O25*$R$42</f>
        <v>0.25669856549145337</v>
      </c>
      <c r="R25" s="58" t="str">
        <f t="shared" ref="R25:R38" si="13">CONCATENATE(Q25,",",P25)</f>
        <v>0.256698565491453,11.1111111111111</v>
      </c>
    </row>
    <row r="26" spans="1:18" x14ac:dyDescent="0.25">
      <c r="N26" s="17">
        <v>2</v>
      </c>
      <c r="O26" s="10">
        <v>60.622</v>
      </c>
      <c r="P26" s="10">
        <f t="shared" si="11"/>
        <v>22.222222222222221</v>
      </c>
      <c r="Q26" s="10">
        <f t="shared" si="12"/>
        <v>1.0536651389547624</v>
      </c>
      <c r="R26" s="58" t="str">
        <f t="shared" si="13"/>
        <v>1.05366513895476,22.2222222222222</v>
      </c>
    </row>
    <row r="27" spans="1:18" x14ac:dyDescent="0.25">
      <c r="N27" s="17">
        <v>3</v>
      </c>
      <c r="O27" s="10">
        <v>139.44200000000001</v>
      </c>
      <c r="P27" s="10">
        <f t="shared" si="11"/>
        <v>33.333333333333329</v>
      </c>
      <c r="Q27" s="10">
        <f t="shared" si="12"/>
        <v>2.4236279618971661</v>
      </c>
      <c r="R27" s="58" t="str">
        <f t="shared" si="13"/>
        <v>2.42362796189717,33.3333333333333</v>
      </c>
    </row>
    <row r="28" spans="1:18" x14ac:dyDescent="0.25">
      <c r="N28" s="17">
        <v>4</v>
      </c>
      <c r="O28" s="10">
        <v>251.178</v>
      </c>
      <c r="P28" s="10">
        <f t="shared" si="11"/>
        <v>44.444444444444443</v>
      </c>
      <c r="Q28" s="10">
        <f t="shared" si="12"/>
        <v>4.3657006082342935</v>
      </c>
      <c r="R28" s="58" t="str">
        <f t="shared" si="13"/>
        <v>4.36570060823429,44.4444444444444</v>
      </c>
    </row>
    <row r="29" spans="1:18" x14ac:dyDescent="0.25">
      <c r="N29" s="17">
        <v>5</v>
      </c>
      <c r="O29" s="10">
        <v>395.178</v>
      </c>
      <c r="P29" s="10">
        <f t="shared" si="11"/>
        <v>55.555555555555557</v>
      </c>
      <c r="Q29" s="10">
        <f t="shared" si="12"/>
        <v>6.8685507288090974</v>
      </c>
      <c r="R29" s="58" t="str">
        <f t="shared" si="13"/>
        <v>6.8685507288091,55.5555555555556</v>
      </c>
    </row>
    <row r="30" spans="1:18" x14ac:dyDescent="0.25">
      <c r="N30" s="17">
        <v>6</v>
      </c>
      <c r="O30" s="10">
        <v>571.178</v>
      </c>
      <c r="P30" s="10">
        <f t="shared" si="11"/>
        <v>66.666666666666657</v>
      </c>
      <c r="Q30" s="10">
        <f t="shared" si="12"/>
        <v>9.9275897650671912</v>
      </c>
      <c r="R30" s="58" t="str">
        <f t="shared" si="13"/>
        <v>9.92758976506719,66.6666666666667</v>
      </c>
    </row>
    <row r="31" spans="1:18" x14ac:dyDescent="0.25">
      <c r="N31" s="17">
        <v>7</v>
      </c>
      <c r="O31" s="10">
        <v>779.178</v>
      </c>
      <c r="P31" s="10">
        <f t="shared" si="11"/>
        <v>77.777777777777771</v>
      </c>
      <c r="Q31" s="10">
        <f t="shared" si="12"/>
        <v>13.542817717008576</v>
      </c>
      <c r="R31" s="58" t="str">
        <f t="shared" si="13"/>
        <v>13.5428177170086,77.7777777777778</v>
      </c>
    </row>
    <row r="32" spans="1:18" x14ac:dyDescent="0.25">
      <c r="N32" s="17">
        <v>8</v>
      </c>
      <c r="O32" s="10">
        <v>1019.178</v>
      </c>
      <c r="P32" s="10">
        <f t="shared" si="11"/>
        <v>88.888888888888886</v>
      </c>
      <c r="Q32" s="10">
        <f t="shared" si="12"/>
        <v>17.71423458463325</v>
      </c>
      <c r="R32" s="58" t="str">
        <f t="shared" si="13"/>
        <v>17.7142345846332,88.8888888888889</v>
      </c>
    </row>
    <row r="33" spans="14:18" x14ac:dyDescent="0.25">
      <c r="N33" s="17">
        <v>9</v>
      </c>
      <c r="O33" s="10">
        <v>1291.1779999999999</v>
      </c>
      <c r="P33" s="10">
        <f t="shared" si="11"/>
        <v>100</v>
      </c>
      <c r="Q33" s="10">
        <f t="shared" si="12"/>
        <v>22.441840367941211</v>
      </c>
      <c r="R33" s="58" t="str">
        <f t="shared" si="13"/>
        <v>22.4418403679412,100</v>
      </c>
    </row>
    <row r="34" spans="14:18" x14ac:dyDescent="0.25">
      <c r="N34" s="17">
        <v>10</v>
      </c>
      <c r="O34" s="10">
        <v>1595.1779999999999</v>
      </c>
      <c r="P34" s="10">
        <f t="shared" si="11"/>
        <v>111.11111111111111</v>
      </c>
      <c r="Q34" s="10">
        <f t="shared" si="12"/>
        <v>27.725635066932465</v>
      </c>
      <c r="R34" s="58" t="str">
        <f t="shared" si="13"/>
        <v>27.7256350669325,111.111111111111</v>
      </c>
    </row>
    <row r="35" spans="14:18" x14ac:dyDescent="0.25">
      <c r="N35" s="17">
        <v>11</v>
      </c>
      <c r="O35" s="10">
        <v>1931.1779999999999</v>
      </c>
      <c r="P35" s="10">
        <f t="shared" si="11"/>
        <v>122.22222222222221</v>
      </c>
      <c r="Q35" s="10">
        <f t="shared" si="12"/>
        <v>33.565618681607006</v>
      </c>
      <c r="R35" s="58" t="str">
        <f t="shared" si="13"/>
        <v>33.565618681607,122.222222222222</v>
      </c>
    </row>
    <row r="36" spans="14:18" x14ac:dyDescent="0.25">
      <c r="N36" s="17">
        <v>12</v>
      </c>
      <c r="O36" s="10">
        <v>2299.1779999999999</v>
      </c>
      <c r="P36" s="10">
        <f t="shared" si="11"/>
        <v>133.33333333333331</v>
      </c>
      <c r="Q36" s="10">
        <f t="shared" si="12"/>
        <v>39.961791211964844</v>
      </c>
      <c r="R36" s="58" t="str">
        <f t="shared" si="13"/>
        <v>39.9617912119648,133.333333333333</v>
      </c>
    </row>
    <row r="37" spans="14:18" x14ac:dyDescent="0.25">
      <c r="N37" s="17">
        <v>12.76</v>
      </c>
      <c r="O37" s="10">
        <v>2600.2595999999999</v>
      </c>
      <c r="P37" s="10">
        <f t="shared" si="11"/>
        <v>141.77777777777777</v>
      </c>
      <c r="Q37" s="10">
        <f t="shared" si="12"/>
        <v>45.194861481845784</v>
      </c>
      <c r="R37" s="58" t="str">
        <f t="shared" si="13"/>
        <v>45.1948614818458,141.777777777778</v>
      </c>
    </row>
    <row r="38" spans="14:18" ht="15.75" thickBot="1" x14ac:dyDescent="0.3">
      <c r="N38" s="19">
        <v>13.42</v>
      </c>
      <c r="O38" s="34">
        <v>2876.7204000000002</v>
      </c>
      <c r="P38" s="34">
        <f t="shared" si="11"/>
        <v>149.11111111111111</v>
      </c>
      <c r="Q38" s="34">
        <f t="shared" si="12"/>
        <v>50</v>
      </c>
      <c r="R38" s="59" t="str">
        <f t="shared" si="13"/>
        <v>50,149.111111111111</v>
      </c>
    </row>
    <row r="40" spans="14:18" x14ac:dyDescent="0.25">
      <c r="O40" s="4" t="s">
        <v>155</v>
      </c>
      <c r="Q40" s="4" t="s">
        <v>159</v>
      </c>
    </row>
    <row r="41" spans="14:18" x14ac:dyDescent="0.25">
      <c r="N41" s="4">
        <v>18</v>
      </c>
      <c r="O41" s="4">
        <v>200</v>
      </c>
      <c r="Q41" s="4">
        <f>O38</f>
        <v>2876.7204000000002</v>
      </c>
      <c r="R41" s="4">
        <v>50</v>
      </c>
    </row>
    <row r="42" spans="14:18" x14ac:dyDescent="0.25">
      <c r="O42" s="4">
        <f>O41/N41</f>
        <v>11.111111111111111</v>
      </c>
      <c r="R42" s="4">
        <f>R41/Q41</f>
        <v>1.7380903615102809E-2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7AA6-40F7-4B80-B454-C28EF2128037}">
  <dimension ref="A1:U37"/>
  <sheetViews>
    <sheetView zoomScale="85" zoomScaleNormal="85" workbookViewId="0">
      <selection activeCell="V38" sqref="V38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1.7109375" style="4" customWidth="1"/>
    <col min="16" max="16" width="13.28515625" style="4" customWidth="1"/>
    <col min="17" max="17" width="12.5703125" style="4" customWidth="1"/>
    <col min="18" max="18" width="37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11.776999999999999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6" si="0">N2*$O$20</f>
        <v>0</v>
      </c>
      <c r="Q2" s="51">
        <f t="shared" ref="Q2:Q16" si="1">O2*$R$20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14.715</v>
      </c>
      <c r="E3" s="10">
        <f>D3+D2</f>
        <v>26.491999999999997</v>
      </c>
      <c r="F3" s="10">
        <f>C3*E3</f>
        <v>26.491999999999997</v>
      </c>
      <c r="G3" s="10">
        <f>G2+F3</f>
        <v>26.491999999999997</v>
      </c>
      <c r="H3" s="10">
        <f t="shared" ref="H3:H16" si="2">B3*D3</f>
        <v>14.715</v>
      </c>
      <c r="I3" s="10">
        <f>H3+H2</f>
        <v>14.715</v>
      </c>
      <c r="J3" s="10">
        <f t="shared" ref="J3:J16" si="3">C3*I3</f>
        <v>14.715</v>
      </c>
      <c r="K3" s="58">
        <f>K2+J3</f>
        <v>14.715</v>
      </c>
      <c r="N3" s="17">
        <v>1</v>
      </c>
      <c r="O3" s="10">
        <v>26.491999999999997</v>
      </c>
      <c r="P3" s="10">
        <f t="shared" si="0"/>
        <v>11.111111111111111</v>
      </c>
      <c r="Q3" s="10">
        <f t="shared" si="1"/>
        <v>3.1382230161625828</v>
      </c>
      <c r="R3" s="58" t="str">
        <f t="shared" ref="R3:R16" si="4">CONCATENATE(Q3,",",P3)</f>
        <v>3.13822301616258,11.1111111111111</v>
      </c>
    </row>
    <row r="4" spans="1:18" x14ac:dyDescent="0.25">
      <c r="A4" s="17">
        <v>2</v>
      </c>
      <c r="B4" s="10">
        <v>2</v>
      </c>
      <c r="C4" s="10">
        <f t="shared" ref="C4:C16" si="5">B4-B3</f>
        <v>1</v>
      </c>
      <c r="D4" s="11">
        <v>15.487</v>
      </c>
      <c r="E4" s="10">
        <f t="shared" ref="E4:E16" si="6">D4+D3</f>
        <v>30.201999999999998</v>
      </c>
      <c r="F4" s="10">
        <f t="shared" ref="F4:F16" si="7">C4*E4</f>
        <v>30.201999999999998</v>
      </c>
      <c r="G4" s="10">
        <f t="shared" ref="G4:G16" si="8">G3+F4</f>
        <v>56.693999999999996</v>
      </c>
      <c r="H4" s="10">
        <f t="shared" si="2"/>
        <v>30.974</v>
      </c>
      <c r="I4" s="10">
        <f t="shared" ref="I4:I16" si="9">H4+H3</f>
        <v>45.689</v>
      </c>
      <c r="J4" s="10">
        <f t="shared" si="3"/>
        <v>45.689</v>
      </c>
      <c r="K4" s="58">
        <f t="shared" ref="K4:K16" si="10">K3+J4</f>
        <v>60.403999999999996</v>
      </c>
      <c r="N4" s="17">
        <v>2</v>
      </c>
      <c r="O4" s="10">
        <v>56.693999999999996</v>
      </c>
      <c r="P4" s="10">
        <f t="shared" si="0"/>
        <v>22.222222222222221</v>
      </c>
      <c r="Q4" s="10">
        <f t="shared" si="1"/>
        <v>6.7159299289718204</v>
      </c>
      <c r="R4" s="58" t="str">
        <f t="shared" si="4"/>
        <v>6.71592992897182,22.2222222222222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15.864000000000001</v>
      </c>
      <c r="E5" s="10">
        <f t="shared" si="6"/>
        <v>31.350999999999999</v>
      </c>
      <c r="F5" s="10">
        <f t="shared" si="7"/>
        <v>31.350999999999999</v>
      </c>
      <c r="G5" s="10">
        <f t="shared" si="8"/>
        <v>88.044999999999987</v>
      </c>
      <c r="H5" s="10">
        <f t="shared" si="2"/>
        <v>47.591999999999999</v>
      </c>
      <c r="I5" s="10">
        <f t="shared" si="9"/>
        <v>78.566000000000003</v>
      </c>
      <c r="J5" s="10">
        <f t="shared" si="3"/>
        <v>78.566000000000003</v>
      </c>
      <c r="K5" s="58">
        <f t="shared" si="10"/>
        <v>138.97</v>
      </c>
      <c r="N5" s="17">
        <v>3</v>
      </c>
      <c r="O5" s="10">
        <v>88.044999999999987</v>
      </c>
      <c r="P5" s="10">
        <f t="shared" si="0"/>
        <v>33.333333333333329</v>
      </c>
      <c r="Q5" s="10">
        <f t="shared" si="1"/>
        <v>10.429746544543054</v>
      </c>
      <c r="R5" s="58" t="str">
        <f t="shared" si="4"/>
        <v>10.4297465445431,33.3333333333333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15.992000000000001</v>
      </c>
      <c r="E6" s="10">
        <f t="shared" si="6"/>
        <v>31.856000000000002</v>
      </c>
      <c r="F6" s="10">
        <f t="shared" si="7"/>
        <v>31.856000000000002</v>
      </c>
      <c r="G6" s="10">
        <f t="shared" si="8"/>
        <v>119.90099999999998</v>
      </c>
      <c r="H6" s="10">
        <f t="shared" si="2"/>
        <v>63.968000000000004</v>
      </c>
      <c r="I6" s="10">
        <f t="shared" si="9"/>
        <v>111.56</v>
      </c>
      <c r="J6" s="10">
        <f t="shared" si="3"/>
        <v>111.56</v>
      </c>
      <c r="K6" s="58">
        <f t="shared" si="10"/>
        <v>250.53</v>
      </c>
      <c r="N6" s="17">
        <v>4</v>
      </c>
      <c r="O6" s="10">
        <v>119.90099999999998</v>
      </c>
      <c r="P6" s="10">
        <f t="shared" si="0"/>
        <v>44.444444444444443</v>
      </c>
      <c r="Q6" s="10">
        <f t="shared" si="1"/>
        <v>14.203385092137619</v>
      </c>
      <c r="R6" s="58" t="str">
        <f t="shared" si="4"/>
        <v>14.2033850921376,44.4444444444444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16</v>
      </c>
      <c r="E7" s="10">
        <f t="shared" si="6"/>
        <v>31.992000000000001</v>
      </c>
      <c r="F7" s="10">
        <f t="shared" si="7"/>
        <v>31.992000000000001</v>
      </c>
      <c r="G7" s="10">
        <f t="shared" si="8"/>
        <v>151.89299999999997</v>
      </c>
      <c r="H7" s="10">
        <f t="shared" si="2"/>
        <v>80</v>
      </c>
      <c r="I7" s="10">
        <f t="shared" si="9"/>
        <v>143.96800000000002</v>
      </c>
      <c r="J7" s="10">
        <f t="shared" si="3"/>
        <v>143.96800000000002</v>
      </c>
      <c r="K7" s="58">
        <f t="shared" si="10"/>
        <v>394.49800000000005</v>
      </c>
      <c r="N7" s="17">
        <v>5</v>
      </c>
      <c r="O7" s="10">
        <v>151.89299999999997</v>
      </c>
      <c r="P7" s="10">
        <f t="shared" si="0"/>
        <v>55.555555555555557</v>
      </c>
      <c r="Q7" s="10">
        <f t="shared" si="1"/>
        <v>17.993134100633515</v>
      </c>
      <c r="R7" s="58" t="str">
        <f t="shared" si="4"/>
        <v>17.9931341006335,55.5555555555556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16</v>
      </c>
      <c r="E8" s="10">
        <f t="shared" si="6"/>
        <v>32</v>
      </c>
      <c r="F8" s="10">
        <f t="shared" si="7"/>
        <v>32</v>
      </c>
      <c r="G8" s="10">
        <f t="shared" si="8"/>
        <v>183.89299999999997</v>
      </c>
      <c r="H8" s="10">
        <f t="shared" si="2"/>
        <v>96</v>
      </c>
      <c r="I8" s="10">
        <f t="shared" si="9"/>
        <v>176</v>
      </c>
      <c r="J8" s="10">
        <f t="shared" si="3"/>
        <v>176</v>
      </c>
      <c r="K8" s="58">
        <f t="shared" si="10"/>
        <v>570.49800000000005</v>
      </c>
      <c r="N8" s="17">
        <v>6</v>
      </c>
      <c r="O8" s="10">
        <v>183.89299999999997</v>
      </c>
      <c r="P8" s="10">
        <f t="shared" si="0"/>
        <v>66.666666666666657</v>
      </c>
      <c r="Q8" s="10">
        <f t="shared" si="1"/>
        <v>21.783830783300083</v>
      </c>
      <c r="R8" s="58" t="str">
        <f t="shared" si="4"/>
        <v>21.7838307833001,66.6666666666667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16</v>
      </c>
      <c r="E9" s="10">
        <f t="shared" si="6"/>
        <v>32</v>
      </c>
      <c r="F9" s="10">
        <f t="shared" si="7"/>
        <v>32</v>
      </c>
      <c r="G9" s="10">
        <f t="shared" si="8"/>
        <v>215.89299999999997</v>
      </c>
      <c r="H9" s="10">
        <f t="shared" si="2"/>
        <v>112</v>
      </c>
      <c r="I9" s="10">
        <f t="shared" si="9"/>
        <v>208</v>
      </c>
      <c r="J9" s="10">
        <f t="shared" si="3"/>
        <v>208</v>
      </c>
      <c r="K9" s="58">
        <f t="shared" si="10"/>
        <v>778.49800000000005</v>
      </c>
      <c r="N9" s="17">
        <v>7</v>
      </c>
      <c r="O9" s="10">
        <v>215.89299999999997</v>
      </c>
      <c r="P9" s="10">
        <f t="shared" si="0"/>
        <v>77.777777777777771</v>
      </c>
      <c r="Q9" s="10">
        <f t="shared" si="1"/>
        <v>25.574527465966646</v>
      </c>
      <c r="R9" s="58" t="str">
        <f t="shared" si="4"/>
        <v>25.5745274659666,77.7777777777778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16</v>
      </c>
      <c r="E10" s="10">
        <f t="shared" si="6"/>
        <v>32</v>
      </c>
      <c r="F10" s="10">
        <f t="shared" si="7"/>
        <v>32</v>
      </c>
      <c r="G10" s="10">
        <f t="shared" si="8"/>
        <v>247.89299999999997</v>
      </c>
      <c r="H10" s="10">
        <f t="shared" si="2"/>
        <v>128</v>
      </c>
      <c r="I10" s="10">
        <f t="shared" si="9"/>
        <v>240</v>
      </c>
      <c r="J10" s="10">
        <f t="shared" si="3"/>
        <v>240</v>
      </c>
      <c r="K10" s="58">
        <f t="shared" si="10"/>
        <v>1018.498</v>
      </c>
      <c r="N10" s="17">
        <v>8</v>
      </c>
      <c r="O10" s="10">
        <v>247.89299999999997</v>
      </c>
      <c r="P10" s="10">
        <f t="shared" si="0"/>
        <v>88.888888888888886</v>
      </c>
      <c r="Q10" s="10">
        <f t="shared" si="1"/>
        <v>29.365224148633214</v>
      </c>
      <c r="R10" s="58" t="str">
        <f t="shared" si="4"/>
        <v>29.3652241486332,88.8888888888889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16</v>
      </c>
      <c r="E11" s="10">
        <f t="shared" si="6"/>
        <v>32</v>
      </c>
      <c r="F11" s="10">
        <f t="shared" si="7"/>
        <v>32</v>
      </c>
      <c r="G11" s="10">
        <f t="shared" si="8"/>
        <v>279.89299999999997</v>
      </c>
      <c r="H11" s="10">
        <f t="shared" si="2"/>
        <v>144</v>
      </c>
      <c r="I11" s="10">
        <f t="shared" si="9"/>
        <v>272</v>
      </c>
      <c r="J11" s="10">
        <f t="shared" si="3"/>
        <v>272</v>
      </c>
      <c r="K11" s="58">
        <f t="shared" si="10"/>
        <v>1290.498</v>
      </c>
      <c r="N11" s="17">
        <v>9</v>
      </c>
      <c r="O11" s="10">
        <v>279.89299999999997</v>
      </c>
      <c r="P11" s="10">
        <f t="shared" si="0"/>
        <v>100</v>
      </c>
      <c r="Q11" s="10">
        <f t="shared" si="1"/>
        <v>33.155920831299781</v>
      </c>
      <c r="R11" s="58" t="str">
        <f t="shared" si="4"/>
        <v>33.1559208312998,100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16</v>
      </c>
      <c r="E12" s="10">
        <f t="shared" si="6"/>
        <v>32</v>
      </c>
      <c r="F12" s="10">
        <f t="shared" si="7"/>
        <v>32</v>
      </c>
      <c r="G12" s="10">
        <f t="shared" si="8"/>
        <v>311.89299999999997</v>
      </c>
      <c r="H12" s="10">
        <f t="shared" si="2"/>
        <v>160</v>
      </c>
      <c r="I12" s="10">
        <f t="shared" si="9"/>
        <v>304</v>
      </c>
      <c r="J12" s="10">
        <f t="shared" si="3"/>
        <v>304</v>
      </c>
      <c r="K12" s="58">
        <f t="shared" si="10"/>
        <v>1594.498</v>
      </c>
      <c r="N12" s="17">
        <v>10</v>
      </c>
      <c r="O12" s="10">
        <v>311.89299999999997</v>
      </c>
      <c r="P12" s="10">
        <f t="shared" si="0"/>
        <v>111.11111111111111</v>
      </c>
      <c r="Q12" s="10">
        <f t="shared" si="1"/>
        <v>36.946617513966345</v>
      </c>
      <c r="R12" s="58" t="str">
        <f t="shared" si="4"/>
        <v>36.9466175139663,111.111111111111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32</v>
      </c>
      <c r="F13" s="10">
        <f t="shared" si="7"/>
        <v>32</v>
      </c>
      <c r="G13" s="10">
        <f t="shared" si="8"/>
        <v>343.89299999999997</v>
      </c>
      <c r="H13" s="10">
        <f t="shared" si="2"/>
        <v>176</v>
      </c>
      <c r="I13" s="10">
        <f t="shared" si="9"/>
        <v>336</v>
      </c>
      <c r="J13" s="10">
        <f t="shared" si="3"/>
        <v>336</v>
      </c>
      <c r="K13" s="58">
        <f t="shared" si="10"/>
        <v>1930.498</v>
      </c>
      <c r="N13" s="17">
        <v>11</v>
      </c>
      <c r="O13" s="10">
        <v>343.89299999999997</v>
      </c>
      <c r="P13" s="10">
        <f t="shared" si="0"/>
        <v>122.22222222222221</v>
      </c>
      <c r="Q13" s="10">
        <f t="shared" si="1"/>
        <v>40.737314196632909</v>
      </c>
      <c r="R13" s="58" t="str">
        <f t="shared" si="4"/>
        <v>40.7373141966329,122.222222222222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375.89299999999997</v>
      </c>
      <c r="H14" s="10">
        <f t="shared" si="2"/>
        <v>192</v>
      </c>
      <c r="I14" s="10">
        <f t="shared" si="9"/>
        <v>368</v>
      </c>
      <c r="J14" s="10">
        <f t="shared" si="3"/>
        <v>368</v>
      </c>
      <c r="K14" s="58">
        <f t="shared" si="10"/>
        <v>2298.498</v>
      </c>
      <c r="N14" s="17">
        <v>12</v>
      </c>
      <c r="O14" s="10">
        <v>375.89299999999997</v>
      </c>
      <c r="P14" s="10">
        <f t="shared" si="0"/>
        <v>133.33333333333331</v>
      </c>
      <c r="Q14" s="10">
        <f t="shared" si="1"/>
        <v>44.528010879299472</v>
      </c>
      <c r="R14" s="58" t="str">
        <f t="shared" si="4"/>
        <v>44.5280108792995,133.333333333333</v>
      </c>
    </row>
    <row r="15" spans="1:18" x14ac:dyDescent="0.25">
      <c r="A15" s="17" t="s">
        <v>154</v>
      </c>
      <c r="B15" s="10">
        <v>12.81</v>
      </c>
      <c r="C15" s="10">
        <f t="shared" si="5"/>
        <v>0.8100000000000005</v>
      </c>
      <c r="D15" s="11">
        <v>16</v>
      </c>
      <c r="E15" s="10">
        <f t="shared" si="6"/>
        <v>32</v>
      </c>
      <c r="F15" s="10">
        <f t="shared" si="7"/>
        <v>25.920000000000016</v>
      </c>
      <c r="G15" s="10">
        <f t="shared" si="8"/>
        <v>401.81299999999999</v>
      </c>
      <c r="H15" s="10">
        <f t="shared" si="2"/>
        <v>204.96</v>
      </c>
      <c r="I15" s="10">
        <f t="shared" si="9"/>
        <v>396.96000000000004</v>
      </c>
      <c r="J15" s="10">
        <f t="shared" si="3"/>
        <v>321.53760000000023</v>
      </c>
      <c r="K15" s="58">
        <f t="shared" si="10"/>
        <v>2620.0356000000002</v>
      </c>
      <c r="N15" s="17">
        <v>12.81</v>
      </c>
      <c r="O15" s="10">
        <v>401.81299999999999</v>
      </c>
      <c r="P15" s="10">
        <f t="shared" si="0"/>
        <v>142.33333333333334</v>
      </c>
      <c r="Q15" s="10">
        <f t="shared" si="1"/>
        <v>47.598475192259393</v>
      </c>
      <c r="R15" s="58" t="str">
        <f t="shared" si="4"/>
        <v>47.5984751922594,142.333333333333</v>
      </c>
    </row>
    <row r="16" spans="1:18" ht="15.75" thickBot="1" x14ac:dyDescent="0.3">
      <c r="A16" s="19" t="s">
        <v>5</v>
      </c>
      <c r="B16" s="34">
        <v>13.48</v>
      </c>
      <c r="C16" s="34">
        <f t="shared" si="5"/>
        <v>0.66999999999999993</v>
      </c>
      <c r="D16" s="34">
        <v>16</v>
      </c>
      <c r="E16" s="34">
        <f t="shared" si="6"/>
        <v>32</v>
      </c>
      <c r="F16" s="34">
        <f t="shared" si="7"/>
        <v>21.439999999999998</v>
      </c>
      <c r="G16" s="34">
        <f t="shared" si="8"/>
        <v>423.25299999999999</v>
      </c>
      <c r="H16" s="34">
        <f t="shared" si="2"/>
        <v>215.68</v>
      </c>
      <c r="I16" s="34">
        <f t="shared" si="9"/>
        <v>420.64</v>
      </c>
      <c r="J16" s="34">
        <f t="shared" si="3"/>
        <v>281.82879999999994</v>
      </c>
      <c r="K16" s="59">
        <f t="shared" si="10"/>
        <v>2901.8643999999999</v>
      </c>
      <c r="N16" s="19">
        <v>13.48</v>
      </c>
      <c r="O16" s="34">
        <v>423.25299999999999</v>
      </c>
      <c r="P16" s="34">
        <f t="shared" si="0"/>
        <v>149.77777777777777</v>
      </c>
      <c r="Q16" s="34">
        <f t="shared" si="1"/>
        <v>50.138241969645996</v>
      </c>
      <c r="R16" s="59" t="str">
        <f t="shared" si="4"/>
        <v>50.138241969646,149.777777777778</v>
      </c>
    </row>
    <row r="18" spans="14:21" x14ac:dyDescent="0.25">
      <c r="O18" s="4" t="s">
        <v>155</v>
      </c>
      <c r="Q18" s="4" t="s">
        <v>156</v>
      </c>
      <c r="T18" s="4" t="s">
        <v>159</v>
      </c>
    </row>
    <row r="19" spans="14:21" x14ac:dyDescent="0.25">
      <c r="N19" s="4">
        <v>18</v>
      </c>
      <c r="O19" s="4">
        <v>200</v>
      </c>
      <c r="Q19" s="4">
        <v>422.08600000000001</v>
      </c>
      <c r="R19" s="4">
        <v>50</v>
      </c>
      <c r="T19" s="4">
        <v>2876.7204000000002</v>
      </c>
      <c r="U19" s="4">
        <v>50</v>
      </c>
    </row>
    <row r="20" spans="14:21" x14ac:dyDescent="0.25">
      <c r="O20" s="4">
        <v>11.111111111111111</v>
      </c>
      <c r="R20" s="4">
        <v>0.11845927133333017</v>
      </c>
      <c r="U20" s="4">
        <v>1.7380903615102809E-2</v>
      </c>
    </row>
    <row r="21" spans="14:21" ht="15.75" thickBot="1" x14ac:dyDescent="0.3"/>
    <row r="22" spans="14:21" ht="15.75" thickBot="1" x14ac:dyDescent="0.3">
      <c r="N22" s="5" t="s">
        <v>4</v>
      </c>
      <c r="O22" s="5" t="s">
        <v>153</v>
      </c>
      <c r="P22" s="5" t="s">
        <v>155</v>
      </c>
      <c r="Q22" s="5" t="s">
        <v>159</v>
      </c>
      <c r="R22" s="5" t="s">
        <v>157</v>
      </c>
    </row>
    <row r="23" spans="14:21" x14ac:dyDescent="0.25">
      <c r="N23" s="42">
        <v>0</v>
      </c>
      <c r="O23" s="51">
        <v>0</v>
      </c>
      <c r="P23" s="51">
        <f>N23*$O$20</f>
        <v>0</v>
      </c>
      <c r="Q23" s="51">
        <f>O23*$U$20</f>
        <v>0</v>
      </c>
      <c r="R23" s="43" t="str">
        <f>CONCATENATE(Q23,",",P23)</f>
        <v>0,0</v>
      </c>
    </row>
    <row r="24" spans="14:21" x14ac:dyDescent="0.25">
      <c r="N24" s="17">
        <v>1</v>
      </c>
      <c r="O24" s="10">
        <v>14.715</v>
      </c>
      <c r="P24" s="10">
        <f t="shared" ref="P24:P37" si="11">N24*$O$20</f>
        <v>11.111111111111111</v>
      </c>
      <c r="Q24" s="10">
        <f t="shared" ref="Q24:Q37" si="12">O24*$U$20</f>
        <v>0.25575999669623783</v>
      </c>
      <c r="R24" s="58" t="str">
        <f t="shared" ref="R24:R37" si="13">CONCATENATE(Q24,",",P24)</f>
        <v>0.255759996696238,11.1111111111111</v>
      </c>
    </row>
    <row r="25" spans="14:21" x14ac:dyDescent="0.25">
      <c r="N25" s="17">
        <v>2</v>
      </c>
      <c r="O25" s="10">
        <v>60.403999999999996</v>
      </c>
      <c r="P25" s="10">
        <f t="shared" si="11"/>
        <v>22.222222222222221</v>
      </c>
      <c r="Q25" s="10">
        <f t="shared" si="12"/>
        <v>1.04987610196667</v>
      </c>
      <c r="R25" s="58" t="str">
        <f t="shared" si="13"/>
        <v>1.04987610196667,22.2222222222222</v>
      </c>
    </row>
    <row r="26" spans="14:21" x14ac:dyDescent="0.25">
      <c r="N26" s="17">
        <v>3</v>
      </c>
      <c r="O26" s="10">
        <v>138.97</v>
      </c>
      <c r="P26" s="10">
        <f t="shared" si="11"/>
        <v>33.333333333333329</v>
      </c>
      <c r="Q26" s="10">
        <f t="shared" si="12"/>
        <v>2.4154241753908372</v>
      </c>
      <c r="R26" s="58" t="str">
        <f t="shared" si="13"/>
        <v>2.41542417539084,33.3333333333333</v>
      </c>
    </row>
    <row r="27" spans="14:21" x14ac:dyDescent="0.25">
      <c r="N27" s="17">
        <v>4</v>
      </c>
      <c r="O27" s="10">
        <v>250.53</v>
      </c>
      <c r="P27" s="10">
        <f t="shared" si="11"/>
        <v>44.444444444444443</v>
      </c>
      <c r="Q27" s="10">
        <f t="shared" si="12"/>
        <v>4.3544377826917069</v>
      </c>
      <c r="R27" s="58" t="str">
        <f t="shared" si="13"/>
        <v>4.35443778269171,44.4444444444444</v>
      </c>
    </row>
    <row r="28" spans="14:21" x14ac:dyDescent="0.25">
      <c r="N28" s="17">
        <v>5</v>
      </c>
      <c r="O28" s="10">
        <v>394.49800000000005</v>
      </c>
      <c r="P28" s="10">
        <f t="shared" si="11"/>
        <v>55.555555555555557</v>
      </c>
      <c r="Q28" s="10">
        <f t="shared" si="12"/>
        <v>6.8567317143508282</v>
      </c>
      <c r="R28" s="58" t="str">
        <f t="shared" si="13"/>
        <v>6.85673171435083,55.5555555555556</v>
      </c>
    </row>
    <row r="29" spans="14:21" x14ac:dyDescent="0.25">
      <c r="N29" s="17">
        <v>6</v>
      </c>
      <c r="O29" s="10">
        <v>570.49800000000005</v>
      </c>
      <c r="P29" s="10">
        <f t="shared" si="11"/>
        <v>66.666666666666657</v>
      </c>
      <c r="Q29" s="10">
        <f t="shared" si="12"/>
        <v>9.9157707506089228</v>
      </c>
      <c r="R29" s="58" t="str">
        <f t="shared" si="13"/>
        <v>9.91577075060892,66.6666666666667</v>
      </c>
    </row>
    <row r="30" spans="14:21" x14ac:dyDescent="0.25">
      <c r="N30" s="17">
        <v>7</v>
      </c>
      <c r="O30" s="10">
        <v>778.49800000000005</v>
      </c>
      <c r="P30" s="10">
        <f t="shared" si="11"/>
        <v>77.777777777777771</v>
      </c>
      <c r="Q30" s="10">
        <f t="shared" si="12"/>
        <v>13.530998702550306</v>
      </c>
      <c r="R30" s="58" t="str">
        <f t="shared" si="13"/>
        <v>13.5309987025503,77.7777777777778</v>
      </c>
    </row>
    <row r="31" spans="14:21" x14ac:dyDescent="0.25">
      <c r="N31" s="17">
        <v>8</v>
      </c>
      <c r="O31" s="10">
        <v>1018.498</v>
      </c>
      <c r="P31" s="10">
        <f t="shared" si="11"/>
        <v>88.888888888888886</v>
      </c>
      <c r="Q31" s="10">
        <f t="shared" si="12"/>
        <v>17.702415570174981</v>
      </c>
      <c r="R31" s="58" t="str">
        <f t="shared" si="13"/>
        <v>17.702415570175,88.8888888888889</v>
      </c>
    </row>
    <row r="32" spans="14:21" x14ac:dyDescent="0.25">
      <c r="N32" s="17">
        <v>9</v>
      </c>
      <c r="O32" s="10">
        <v>1290.498</v>
      </c>
      <c r="P32" s="10">
        <f t="shared" si="11"/>
        <v>100</v>
      </c>
      <c r="Q32" s="10">
        <f t="shared" si="12"/>
        <v>22.430021353482946</v>
      </c>
      <c r="R32" s="58" t="str">
        <f t="shared" si="13"/>
        <v>22.4300213534829,100</v>
      </c>
    </row>
    <row r="33" spans="14:18" x14ac:dyDescent="0.25">
      <c r="N33" s="17">
        <v>10</v>
      </c>
      <c r="O33" s="10">
        <v>1594.498</v>
      </c>
      <c r="P33" s="10">
        <f t="shared" si="11"/>
        <v>111.11111111111111</v>
      </c>
      <c r="Q33" s="10">
        <f t="shared" si="12"/>
        <v>27.713816052474201</v>
      </c>
      <c r="R33" s="58" t="str">
        <f t="shared" si="13"/>
        <v>27.7138160524742,111.111111111111</v>
      </c>
    </row>
    <row r="34" spans="14:18" x14ac:dyDescent="0.25">
      <c r="N34" s="17">
        <v>11</v>
      </c>
      <c r="O34" s="10">
        <v>1930.498</v>
      </c>
      <c r="P34" s="10">
        <f t="shared" si="11"/>
        <v>122.22222222222221</v>
      </c>
      <c r="Q34" s="10">
        <f t="shared" si="12"/>
        <v>33.553799667148745</v>
      </c>
      <c r="R34" s="58" t="str">
        <f t="shared" si="13"/>
        <v>33.5537996671487,122.222222222222</v>
      </c>
    </row>
    <row r="35" spans="14:18" x14ac:dyDescent="0.25">
      <c r="N35" s="17">
        <v>12</v>
      </c>
      <c r="O35" s="10">
        <v>2298.498</v>
      </c>
      <c r="P35" s="10">
        <f t="shared" si="11"/>
        <v>133.33333333333331</v>
      </c>
      <c r="Q35" s="10">
        <f t="shared" si="12"/>
        <v>39.949972197506575</v>
      </c>
      <c r="R35" s="58" t="str">
        <f t="shared" si="13"/>
        <v>39.9499721975066,133.333333333333</v>
      </c>
    </row>
    <row r="36" spans="14:18" x14ac:dyDescent="0.25">
      <c r="N36" s="17">
        <v>12.81</v>
      </c>
      <c r="O36" s="10">
        <v>2620.0356000000002</v>
      </c>
      <c r="P36" s="10">
        <f t="shared" si="11"/>
        <v>142.33333333333334</v>
      </c>
      <c r="Q36" s="10">
        <f t="shared" si="12"/>
        <v>45.538586231738059</v>
      </c>
      <c r="R36" s="58" t="str">
        <f t="shared" si="13"/>
        <v>45.5385862317381,142.333333333333</v>
      </c>
    </row>
    <row r="37" spans="14:18" ht="15.75" thickBot="1" x14ac:dyDescent="0.3">
      <c r="N37" s="19">
        <v>13.48</v>
      </c>
      <c r="O37" s="34">
        <v>2901.8643999999999</v>
      </c>
      <c r="P37" s="34">
        <f t="shared" si="11"/>
        <v>149.77777777777777</v>
      </c>
      <c r="Q37" s="34">
        <f t="shared" si="12"/>
        <v>50.43702544049814</v>
      </c>
      <c r="R37" s="59" t="str">
        <f t="shared" si="13"/>
        <v>50.4370254404981,149.777777777778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3866-383B-4ECF-B58F-6B9FF6CD83DD}">
  <dimension ref="A1:U37"/>
  <sheetViews>
    <sheetView zoomScale="85" zoomScaleNormal="85" workbookViewId="0">
      <selection activeCell="T40" sqref="T40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0.28515625" style="4" customWidth="1"/>
    <col min="16" max="16" width="14.85546875" style="4" customWidth="1"/>
    <col min="17" max="17" width="17.7109375" style="4" customWidth="1"/>
    <col min="18" max="18" width="34.7109375" style="4" bestFit="1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9.3214000000000006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6" si="0">N2*$O$20</f>
        <v>0</v>
      </c>
      <c r="Q2" s="51">
        <f t="shared" ref="Q2:Q16" si="1">O2*$R$20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14.007</v>
      </c>
      <c r="E3" s="10">
        <f>D3+D2</f>
        <v>23.328400000000002</v>
      </c>
      <c r="F3" s="10">
        <f>C3*E3</f>
        <v>23.328400000000002</v>
      </c>
      <c r="G3" s="10">
        <f>G2+F3</f>
        <v>23.328400000000002</v>
      </c>
      <c r="H3" s="10">
        <f t="shared" ref="H3:H16" si="2">B3*D3</f>
        <v>14.007</v>
      </c>
      <c r="I3" s="10">
        <f>H3+H2</f>
        <v>14.007</v>
      </c>
      <c r="J3" s="10">
        <f t="shared" ref="J3:J16" si="3">C3*I3</f>
        <v>14.007</v>
      </c>
      <c r="K3" s="58">
        <f>K2+J3</f>
        <v>14.007</v>
      </c>
      <c r="N3" s="17">
        <v>1</v>
      </c>
      <c r="O3" s="10">
        <v>23.328400000000002</v>
      </c>
      <c r="P3" s="10">
        <f t="shared" si="0"/>
        <v>11.111111111111111</v>
      </c>
      <c r="Q3" s="10">
        <f t="shared" si="1"/>
        <v>2.7634652653724601</v>
      </c>
      <c r="R3" s="58" t="str">
        <f t="shared" ref="R3:R16" si="4">CONCATENATE(Q3,",",P3)</f>
        <v>2.76346526537246,11.1111111111111</v>
      </c>
    </row>
    <row r="4" spans="1:18" x14ac:dyDescent="0.25">
      <c r="A4" s="17">
        <v>2</v>
      </c>
      <c r="B4" s="10">
        <v>2</v>
      </c>
      <c r="C4" s="10">
        <f t="shared" ref="C4:C16" si="5">B4-B3</f>
        <v>1</v>
      </c>
      <c r="D4" s="11">
        <v>14.962</v>
      </c>
      <c r="E4" s="10">
        <f t="shared" ref="E4:E16" si="6">D4+D3</f>
        <v>28.969000000000001</v>
      </c>
      <c r="F4" s="10">
        <f t="shared" ref="F4:F16" si="7">C4*E4</f>
        <v>28.969000000000001</v>
      </c>
      <c r="G4" s="10">
        <f t="shared" ref="G4:G16" si="8">G3+F4</f>
        <v>52.297400000000003</v>
      </c>
      <c r="H4" s="10">
        <f t="shared" si="2"/>
        <v>29.923999999999999</v>
      </c>
      <c r="I4" s="10">
        <f t="shared" ref="I4:I16" si="9">H4+H3</f>
        <v>43.930999999999997</v>
      </c>
      <c r="J4" s="10">
        <f t="shared" si="3"/>
        <v>43.930999999999997</v>
      </c>
      <c r="K4" s="58">
        <f t="shared" ref="K4:K16" si="10">K3+J4</f>
        <v>57.937999999999995</v>
      </c>
      <c r="N4" s="17">
        <v>2</v>
      </c>
      <c r="O4" s="10">
        <v>52.297400000000003</v>
      </c>
      <c r="P4" s="10">
        <f t="shared" si="0"/>
        <v>22.222222222222221</v>
      </c>
      <c r="Q4" s="10">
        <f t="shared" si="1"/>
        <v>6.1951118966277017</v>
      </c>
      <c r="R4" s="58" t="str">
        <f t="shared" si="4"/>
        <v>6.1951118966277,22.2222222222222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15.477</v>
      </c>
      <c r="E5" s="10">
        <f t="shared" si="6"/>
        <v>30.439</v>
      </c>
      <c r="F5" s="10">
        <f t="shared" si="7"/>
        <v>30.439</v>
      </c>
      <c r="G5" s="10">
        <f t="shared" si="8"/>
        <v>82.736400000000003</v>
      </c>
      <c r="H5" s="10">
        <f t="shared" si="2"/>
        <v>46.430999999999997</v>
      </c>
      <c r="I5" s="10">
        <f t="shared" si="9"/>
        <v>76.35499999999999</v>
      </c>
      <c r="J5" s="10">
        <f t="shared" si="3"/>
        <v>76.35499999999999</v>
      </c>
      <c r="K5" s="58">
        <f t="shared" si="10"/>
        <v>134.29299999999998</v>
      </c>
      <c r="N5" s="17">
        <v>3</v>
      </c>
      <c r="O5" s="10">
        <v>82.736400000000003</v>
      </c>
      <c r="P5" s="10">
        <f t="shared" si="0"/>
        <v>33.333333333333329</v>
      </c>
      <c r="Q5" s="10">
        <f t="shared" si="1"/>
        <v>9.8008936567429394</v>
      </c>
      <c r="R5" s="58" t="str">
        <f t="shared" si="4"/>
        <v>9.80089365674294,33.3333333333333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15.763</v>
      </c>
      <c r="E6" s="10">
        <f t="shared" si="6"/>
        <v>31.240000000000002</v>
      </c>
      <c r="F6" s="10">
        <f t="shared" si="7"/>
        <v>31.240000000000002</v>
      </c>
      <c r="G6" s="10">
        <f t="shared" si="8"/>
        <v>113.97640000000001</v>
      </c>
      <c r="H6" s="10">
        <f t="shared" si="2"/>
        <v>63.052</v>
      </c>
      <c r="I6" s="10">
        <f t="shared" si="9"/>
        <v>109.483</v>
      </c>
      <c r="J6" s="10">
        <f t="shared" si="3"/>
        <v>109.483</v>
      </c>
      <c r="K6" s="58">
        <f t="shared" si="10"/>
        <v>243.77599999999998</v>
      </c>
      <c r="N6" s="17">
        <v>4</v>
      </c>
      <c r="O6" s="10">
        <v>113.97640000000001</v>
      </c>
      <c r="P6" s="10">
        <f t="shared" si="0"/>
        <v>44.444444444444443</v>
      </c>
      <c r="Q6" s="10">
        <f t="shared" si="1"/>
        <v>13.501561293196175</v>
      </c>
      <c r="R6" s="58" t="str">
        <f t="shared" si="4"/>
        <v>13.5015612931962,44.4444444444444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15.914999999999999</v>
      </c>
      <c r="E7" s="10">
        <f t="shared" si="6"/>
        <v>31.677999999999997</v>
      </c>
      <c r="F7" s="10">
        <f t="shared" si="7"/>
        <v>31.677999999999997</v>
      </c>
      <c r="G7" s="10">
        <f t="shared" si="8"/>
        <v>145.65440000000001</v>
      </c>
      <c r="H7" s="10">
        <f t="shared" si="2"/>
        <v>79.574999999999989</v>
      </c>
      <c r="I7" s="10">
        <f t="shared" si="9"/>
        <v>142.62699999999998</v>
      </c>
      <c r="J7" s="10">
        <f t="shared" si="3"/>
        <v>142.62699999999998</v>
      </c>
      <c r="K7" s="58">
        <f t="shared" si="10"/>
        <v>386.40299999999996</v>
      </c>
      <c r="N7" s="17">
        <v>5</v>
      </c>
      <c r="O7" s="10">
        <v>145.65440000000001</v>
      </c>
      <c r="P7" s="10">
        <f t="shared" si="0"/>
        <v>55.555555555555557</v>
      </c>
      <c r="Q7" s="10">
        <f t="shared" si="1"/>
        <v>17.254114090493406</v>
      </c>
      <c r="R7" s="58" t="str">
        <f t="shared" si="4"/>
        <v>17.2541140904934,55.5555555555556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15.983000000000001</v>
      </c>
      <c r="E8" s="10">
        <f t="shared" si="6"/>
        <v>31.898</v>
      </c>
      <c r="F8" s="10">
        <f t="shared" si="7"/>
        <v>31.898</v>
      </c>
      <c r="G8" s="10">
        <f t="shared" si="8"/>
        <v>177.55240000000001</v>
      </c>
      <c r="H8" s="10">
        <f t="shared" si="2"/>
        <v>95.897999999999996</v>
      </c>
      <c r="I8" s="10">
        <f t="shared" si="9"/>
        <v>175.47299999999998</v>
      </c>
      <c r="J8" s="10">
        <f t="shared" si="3"/>
        <v>175.47299999999998</v>
      </c>
      <c r="K8" s="58">
        <f t="shared" si="10"/>
        <v>561.87599999999998</v>
      </c>
      <c r="N8" s="17">
        <v>6</v>
      </c>
      <c r="O8" s="10">
        <v>177.55240000000001</v>
      </c>
      <c r="P8" s="10">
        <f t="shared" si="0"/>
        <v>66.666666666666657</v>
      </c>
      <c r="Q8" s="10">
        <f t="shared" si="1"/>
        <v>21.032727927483972</v>
      </c>
      <c r="R8" s="58" t="str">
        <f t="shared" si="4"/>
        <v>21.032727927484,66.6666666666667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16</v>
      </c>
      <c r="E9" s="10">
        <f t="shared" si="6"/>
        <v>31.983000000000001</v>
      </c>
      <c r="F9" s="10">
        <f t="shared" si="7"/>
        <v>31.983000000000001</v>
      </c>
      <c r="G9" s="10">
        <f t="shared" si="8"/>
        <v>209.53540000000001</v>
      </c>
      <c r="H9" s="10">
        <f t="shared" si="2"/>
        <v>112</v>
      </c>
      <c r="I9" s="10">
        <f t="shared" si="9"/>
        <v>207.898</v>
      </c>
      <c r="J9" s="10">
        <f t="shared" si="3"/>
        <v>207.898</v>
      </c>
      <c r="K9" s="58">
        <f t="shared" si="10"/>
        <v>769.774</v>
      </c>
      <c r="N9" s="17">
        <v>7</v>
      </c>
      <c r="O9" s="10">
        <v>209.53540000000001</v>
      </c>
      <c r="P9" s="10">
        <f t="shared" si="0"/>
        <v>77.777777777777771</v>
      </c>
      <c r="Q9" s="10">
        <f t="shared" si="1"/>
        <v>24.821410802537873</v>
      </c>
      <c r="R9" s="58" t="str">
        <f t="shared" si="4"/>
        <v>24.8214108025379,77.7777777777778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16</v>
      </c>
      <c r="E10" s="10">
        <f t="shared" si="6"/>
        <v>32</v>
      </c>
      <c r="F10" s="10">
        <f t="shared" si="7"/>
        <v>32</v>
      </c>
      <c r="G10" s="10">
        <f t="shared" si="8"/>
        <v>241.53540000000001</v>
      </c>
      <c r="H10" s="10">
        <f t="shared" si="2"/>
        <v>128</v>
      </c>
      <c r="I10" s="10">
        <f t="shared" si="9"/>
        <v>240</v>
      </c>
      <c r="J10" s="10">
        <f t="shared" si="3"/>
        <v>240</v>
      </c>
      <c r="K10" s="58">
        <f t="shared" si="10"/>
        <v>1009.774</v>
      </c>
      <c r="N10" s="17">
        <v>8</v>
      </c>
      <c r="O10" s="10">
        <v>241.53540000000001</v>
      </c>
      <c r="P10" s="10">
        <f t="shared" si="0"/>
        <v>88.888888888888886</v>
      </c>
      <c r="Q10" s="10">
        <f t="shared" si="1"/>
        <v>28.612107485204437</v>
      </c>
      <c r="R10" s="58" t="str">
        <f t="shared" si="4"/>
        <v>28.6121074852044,88.8888888888889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16</v>
      </c>
      <c r="E11" s="10">
        <f t="shared" si="6"/>
        <v>32</v>
      </c>
      <c r="F11" s="10">
        <f t="shared" si="7"/>
        <v>32</v>
      </c>
      <c r="G11" s="10">
        <f t="shared" si="8"/>
        <v>273.53539999999998</v>
      </c>
      <c r="H11" s="10">
        <f t="shared" si="2"/>
        <v>144</v>
      </c>
      <c r="I11" s="10">
        <f t="shared" si="9"/>
        <v>272</v>
      </c>
      <c r="J11" s="10">
        <f t="shared" si="3"/>
        <v>272</v>
      </c>
      <c r="K11" s="58">
        <f t="shared" si="10"/>
        <v>1281.7739999999999</v>
      </c>
      <c r="N11" s="17">
        <v>9</v>
      </c>
      <c r="O11" s="10">
        <v>273.53539999999998</v>
      </c>
      <c r="P11" s="10">
        <f t="shared" si="0"/>
        <v>100</v>
      </c>
      <c r="Q11" s="10">
        <f t="shared" si="1"/>
        <v>32.402804167870997</v>
      </c>
      <c r="R11" s="58" t="str">
        <f t="shared" si="4"/>
        <v>32.402804167871,100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16</v>
      </c>
      <c r="E12" s="10">
        <f t="shared" si="6"/>
        <v>32</v>
      </c>
      <c r="F12" s="10">
        <f t="shared" si="7"/>
        <v>32</v>
      </c>
      <c r="G12" s="10">
        <f t="shared" si="8"/>
        <v>305.53539999999998</v>
      </c>
      <c r="H12" s="10">
        <f t="shared" si="2"/>
        <v>160</v>
      </c>
      <c r="I12" s="10">
        <f t="shared" si="9"/>
        <v>304</v>
      </c>
      <c r="J12" s="10">
        <f t="shared" si="3"/>
        <v>304</v>
      </c>
      <c r="K12" s="58">
        <f t="shared" si="10"/>
        <v>1585.7739999999999</v>
      </c>
      <c r="N12" s="17">
        <v>10</v>
      </c>
      <c r="O12" s="10">
        <v>305.53539999999998</v>
      </c>
      <c r="P12" s="10">
        <f t="shared" si="0"/>
        <v>111.11111111111111</v>
      </c>
      <c r="Q12" s="10">
        <f t="shared" si="1"/>
        <v>36.193500850537568</v>
      </c>
      <c r="R12" s="58" t="str">
        <f t="shared" si="4"/>
        <v>36.1935008505376,111.111111111111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32</v>
      </c>
      <c r="F13" s="10">
        <f t="shared" si="7"/>
        <v>32</v>
      </c>
      <c r="G13" s="10">
        <f t="shared" si="8"/>
        <v>337.53539999999998</v>
      </c>
      <c r="H13" s="10">
        <f t="shared" si="2"/>
        <v>176</v>
      </c>
      <c r="I13" s="10">
        <f t="shared" si="9"/>
        <v>336</v>
      </c>
      <c r="J13" s="10">
        <f t="shared" si="3"/>
        <v>336</v>
      </c>
      <c r="K13" s="58">
        <f t="shared" si="10"/>
        <v>1921.7739999999999</v>
      </c>
      <c r="N13" s="17">
        <v>11</v>
      </c>
      <c r="O13" s="10">
        <v>337.53539999999998</v>
      </c>
      <c r="P13" s="10">
        <f t="shared" si="0"/>
        <v>122.22222222222221</v>
      </c>
      <c r="Q13" s="10">
        <f t="shared" si="1"/>
        <v>39.984197533204132</v>
      </c>
      <c r="R13" s="58" t="str">
        <f t="shared" si="4"/>
        <v>39.9841975332041,122.222222222222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369.53539999999998</v>
      </c>
      <c r="H14" s="10">
        <f t="shared" si="2"/>
        <v>192</v>
      </c>
      <c r="I14" s="10">
        <f t="shared" si="9"/>
        <v>368</v>
      </c>
      <c r="J14" s="10">
        <f t="shared" si="3"/>
        <v>368</v>
      </c>
      <c r="K14" s="58">
        <f t="shared" si="10"/>
        <v>2289.7739999999999</v>
      </c>
      <c r="N14" s="17">
        <v>12</v>
      </c>
      <c r="O14" s="10">
        <v>369.53539999999998</v>
      </c>
      <c r="P14" s="10">
        <f t="shared" si="0"/>
        <v>133.33333333333331</v>
      </c>
      <c r="Q14" s="10">
        <f t="shared" si="1"/>
        <v>43.774894215870695</v>
      </c>
      <c r="R14" s="58" t="str">
        <f t="shared" si="4"/>
        <v>43.7748942158707,133.333333333333</v>
      </c>
    </row>
    <row r="15" spans="1:18" x14ac:dyDescent="0.25">
      <c r="A15" s="17" t="s">
        <v>154</v>
      </c>
      <c r="B15" s="10">
        <v>12.92</v>
      </c>
      <c r="C15" s="10">
        <f t="shared" si="5"/>
        <v>0.91999999999999993</v>
      </c>
      <c r="D15" s="11">
        <v>16</v>
      </c>
      <c r="E15" s="10">
        <f t="shared" si="6"/>
        <v>32</v>
      </c>
      <c r="F15" s="10">
        <f t="shared" si="7"/>
        <v>29.439999999999998</v>
      </c>
      <c r="G15" s="10">
        <f t="shared" si="8"/>
        <v>398.97539999999998</v>
      </c>
      <c r="H15" s="10">
        <f t="shared" si="2"/>
        <v>206.72</v>
      </c>
      <c r="I15" s="10">
        <f t="shared" si="9"/>
        <v>398.72</v>
      </c>
      <c r="J15" s="10">
        <f t="shared" si="3"/>
        <v>366.82240000000002</v>
      </c>
      <c r="K15" s="58">
        <f t="shared" si="10"/>
        <v>2656.5963999999999</v>
      </c>
      <c r="N15" s="17">
        <v>12.92</v>
      </c>
      <c r="O15" s="10">
        <v>398.97539999999998</v>
      </c>
      <c r="P15" s="10">
        <f t="shared" si="0"/>
        <v>143.55555555555554</v>
      </c>
      <c r="Q15" s="10">
        <f t="shared" si="1"/>
        <v>47.262335163923936</v>
      </c>
      <c r="R15" s="58" t="str">
        <f t="shared" si="4"/>
        <v>47.2623351639239,143.555555555556</v>
      </c>
    </row>
    <row r="16" spans="1:18" ht="15.75" thickBot="1" x14ac:dyDescent="0.3">
      <c r="A16" s="19" t="s">
        <v>5</v>
      </c>
      <c r="B16" s="34">
        <v>13.59</v>
      </c>
      <c r="C16" s="34">
        <f t="shared" si="5"/>
        <v>0.66999999999999993</v>
      </c>
      <c r="D16" s="34">
        <v>16</v>
      </c>
      <c r="E16" s="34">
        <f t="shared" si="6"/>
        <v>32</v>
      </c>
      <c r="F16" s="34">
        <f t="shared" si="7"/>
        <v>21.439999999999998</v>
      </c>
      <c r="G16" s="34">
        <f t="shared" si="8"/>
        <v>420.41539999999998</v>
      </c>
      <c r="H16" s="34">
        <f t="shared" si="2"/>
        <v>217.44</v>
      </c>
      <c r="I16" s="34">
        <f t="shared" si="9"/>
        <v>424.15999999999997</v>
      </c>
      <c r="J16" s="34">
        <f t="shared" si="3"/>
        <v>284.18719999999996</v>
      </c>
      <c r="K16" s="59">
        <f t="shared" si="10"/>
        <v>2940.7835999999998</v>
      </c>
      <c r="N16" s="19">
        <v>13.59</v>
      </c>
      <c r="O16" s="34">
        <v>420.41539999999998</v>
      </c>
      <c r="P16" s="34">
        <f t="shared" si="0"/>
        <v>151</v>
      </c>
      <c r="Q16" s="34">
        <f t="shared" si="1"/>
        <v>49.802101941310532</v>
      </c>
      <c r="R16" s="59" t="str">
        <f t="shared" si="4"/>
        <v>49.8021019413105,151</v>
      </c>
    </row>
    <row r="18" spans="14:21" x14ac:dyDescent="0.25">
      <c r="O18" s="4" t="s">
        <v>155</v>
      </c>
      <c r="Q18" s="4" t="s">
        <v>156</v>
      </c>
      <c r="T18" s="4" t="s">
        <v>159</v>
      </c>
    </row>
    <row r="19" spans="14:21" x14ac:dyDescent="0.25">
      <c r="N19" s="4">
        <v>18</v>
      </c>
      <c r="O19" s="4">
        <v>200</v>
      </c>
      <c r="Q19" s="4">
        <v>422.08600000000001</v>
      </c>
      <c r="R19" s="4">
        <v>50</v>
      </c>
      <c r="T19" s="4">
        <v>2876.7204000000002</v>
      </c>
      <c r="U19" s="4">
        <v>50</v>
      </c>
    </row>
    <row r="20" spans="14:21" x14ac:dyDescent="0.25">
      <c r="O20" s="4">
        <v>11.111111111111111</v>
      </c>
      <c r="R20" s="4">
        <v>0.11845927133333017</v>
      </c>
      <c r="U20" s="4">
        <v>1.7380903615102809E-2</v>
      </c>
    </row>
    <row r="21" spans="14:21" ht="15.75" thickBot="1" x14ac:dyDescent="0.3"/>
    <row r="22" spans="14:21" ht="15.75" thickBot="1" x14ac:dyDescent="0.3">
      <c r="N22" s="5" t="s">
        <v>4</v>
      </c>
      <c r="O22" s="5" t="s">
        <v>153</v>
      </c>
      <c r="P22" s="5" t="s">
        <v>155</v>
      </c>
      <c r="Q22" s="5" t="s">
        <v>159</v>
      </c>
      <c r="R22" s="5" t="s">
        <v>157</v>
      </c>
    </row>
    <row r="23" spans="14:21" x14ac:dyDescent="0.25">
      <c r="N23" s="42">
        <v>0</v>
      </c>
      <c r="O23" s="51">
        <v>0</v>
      </c>
      <c r="P23" s="51">
        <f>N23*$O$20</f>
        <v>0</v>
      </c>
      <c r="Q23" s="51">
        <f>O23*$U$20</f>
        <v>0</v>
      </c>
      <c r="R23" s="43" t="str">
        <f>CONCATENATE(Q23,",",P23)</f>
        <v>0,0</v>
      </c>
    </row>
    <row r="24" spans="14:21" x14ac:dyDescent="0.25">
      <c r="N24" s="17">
        <v>1</v>
      </c>
      <c r="O24" s="10">
        <v>14.007</v>
      </c>
      <c r="P24" s="10">
        <f t="shared" ref="P24:P37" si="11">N24*$O$20</f>
        <v>11.111111111111111</v>
      </c>
      <c r="Q24" s="10">
        <f t="shared" ref="Q24:Q37" si="12">O24*$U$20</f>
        <v>0.24345431693674505</v>
      </c>
      <c r="R24" s="58" t="str">
        <f t="shared" ref="R24:R37" si="13">CONCATENATE(Q24,",",P24)</f>
        <v>0.243454316936745,11.1111111111111</v>
      </c>
    </row>
    <row r="25" spans="14:21" x14ac:dyDescent="0.25">
      <c r="N25" s="17">
        <v>2</v>
      </c>
      <c r="O25" s="10">
        <v>57.937999999999995</v>
      </c>
      <c r="P25" s="10">
        <f t="shared" si="11"/>
        <v>22.222222222222221</v>
      </c>
      <c r="Q25" s="10">
        <f t="shared" si="12"/>
        <v>1.0070147936518263</v>
      </c>
      <c r="R25" s="58" t="str">
        <f t="shared" si="13"/>
        <v>1.00701479365183,22.2222222222222</v>
      </c>
    </row>
    <row r="26" spans="14:21" x14ac:dyDescent="0.25">
      <c r="N26" s="17">
        <v>3</v>
      </c>
      <c r="O26" s="10">
        <v>134.29299999999998</v>
      </c>
      <c r="P26" s="10">
        <f t="shared" si="11"/>
        <v>33.333333333333329</v>
      </c>
      <c r="Q26" s="10">
        <f t="shared" si="12"/>
        <v>2.3341336891830009</v>
      </c>
      <c r="R26" s="58" t="str">
        <f t="shared" si="13"/>
        <v>2.334133689183,33.3333333333333</v>
      </c>
    </row>
    <row r="27" spans="14:21" x14ac:dyDescent="0.25">
      <c r="N27" s="17">
        <v>4</v>
      </c>
      <c r="O27" s="10">
        <v>243.77599999999998</v>
      </c>
      <c r="P27" s="10">
        <f t="shared" si="11"/>
        <v>44.444444444444443</v>
      </c>
      <c r="Q27" s="10">
        <f t="shared" si="12"/>
        <v>4.2370471596753019</v>
      </c>
      <c r="R27" s="58" t="str">
        <f t="shared" si="13"/>
        <v>4.2370471596753,44.4444444444444</v>
      </c>
    </row>
    <row r="28" spans="14:21" x14ac:dyDescent="0.25">
      <c r="N28" s="17">
        <v>5</v>
      </c>
      <c r="O28" s="10">
        <v>386.40299999999996</v>
      </c>
      <c r="P28" s="10">
        <f t="shared" si="11"/>
        <v>55.555555555555557</v>
      </c>
      <c r="Q28" s="10">
        <f t="shared" si="12"/>
        <v>6.7160332995865701</v>
      </c>
      <c r="R28" s="58" t="str">
        <f t="shared" si="13"/>
        <v>6.71603329958657,55.5555555555556</v>
      </c>
    </row>
    <row r="29" spans="14:21" x14ac:dyDescent="0.25">
      <c r="N29" s="17">
        <v>6</v>
      </c>
      <c r="O29" s="10">
        <v>561.87599999999998</v>
      </c>
      <c r="P29" s="10">
        <f t="shared" si="11"/>
        <v>66.666666666666657</v>
      </c>
      <c r="Q29" s="10">
        <f t="shared" si="12"/>
        <v>9.7659125996395044</v>
      </c>
      <c r="R29" s="58" t="str">
        <f t="shared" si="13"/>
        <v>9.7659125996395,66.6666666666667</v>
      </c>
    </row>
    <row r="30" spans="14:21" x14ac:dyDescent="0.25">
      <c r="N30" s="17">
        <v>7</v>
      </c>
      <c r="O30" s="10">
        <v>769.774</v>
      </c>
      <c r="P30" s="10">
        <f t="shared" si="11"/>
        <v>77.777777777777771</v>
      </c>
      <c r="Q30" s="10">
        <f t="shared" si="12"/>
        <v>13.37936769941215</v>
      </c>
      <c r="R30" s="58" t="str">
        <f t="shared" si="13"/>
        <v>13.3793676994121,77.7777777777778</v>
      </c>
    </row>
    <row r="31" spans="14:21" x14ac:dyDescent="0.25">
      <c r="N31" s="17">
        <v>8</v>
      </c>
      <c r="O31" s="10">
        <v>1009.774</v>
      </c>
      <c r="P31" s="10">
        <f t="shared" si="11"/>
        <v>88.888888888888886</v>
      </c>
      <c r="Q31" s="10">
        <f t="shared" si="12"/>
        <v>17.550784567036825</v>
      </c>
      <c r="R31" s="58" t="str">
        <f t="shared" si="13"/>
        <v>17.5507845670368,88.8888888888889</v>
      </c>
    </row>
    <row r="32" spans="14:21" x14ac:dyDescent="0.25">
      <c r="N32" s="17">
        <v>9</v>
      </c>
      <c r="O32" s="10">
        <v>1281.7739999999999</v>
      </c>
      <c r="P32" s="10">
        <f t="shared" si="11"/>
        <v>100</v>
      </c>
      <c r="Q32" s="10">
        <f t="shared" si="12"/>
        <v>22.278390350344786</v>
      </c>
      <c r="R32" s="58" t="str">
        <f t="shared" si="13"/>
        <v>22.2783903503448,100</v>
      </c>
    </row>
    <row r="33" spans="14:18" x14ac:dyDescent="0.25">
      <c r="N33" s="17">
        <v>10</v>
      </c>
      <c r="O33" s="10">
        <v>1585.7739999999999</v>
      </c>
      <c r="P33" s="10">
        <f t="shared" si="11"/>
        <v>111.11111111111111</v>
      </c>
      <c r="Q33" s="10">
        <f t="shared" si="12"/>
        <v>27.562185049336041</v>
      </c>
      <c r="R33" s="58" t="str">
        <f t="shared" si="13"/>
        <v>27.562185049336,111.111111111111</v>
      </c>
    </row>
    <row r="34" spans="14:18" x14ac:dyDescent="0.25">
      <c r="N34" s="17">
        <v>11</v>
      </c>
      <c r="O34" s="10">
        <v>1921.7739999999999</v>
      </c>
      <c r="P34" s="10">
        <f t="shared" si="11"/>
        <v>122.22222222222221</v>
      </c>
      <c r="Q34" s="10">
        <f t="shared" si="12"/>
        <v>33.402168664010581</v>
      </c>
      <c r="R34" s="58" t="str">
        <f t="shared" si="13"/>
        <v>33.4021686640106,122.222222222222</v>
      </c>
    </row>
    <row r="35" spans="14:18" x14ac:dyDescent="0.25">
      <c r="N35" s="17">
        <v>12</v>
      </c>
      <c r="O35" s="10">
        <v>2289.7739999999999</v>
      </c>
      <c r="P35" s="10">
        <f t="shared" si="11"/>
        <v>133.33333333333331</v>
      </c>
      <c r="Q35" s="10">
        <f t="shared" si="12"/>
        <v>39.798341194368419</v>
      </c>
      <c r="R35" s="58" t="str">
        <f t="shared" si="13"/>
        <v>39.7983411943684,133.333333333333</v>
      </c>
    </row>
    <row r="36" spans="14:18" x14ac:dyDescent="0.25">
      <c r="N36" s="17">
        <v>12.92</v>
      </c>
      <c r="O36" s="10">
        <v>2656.5963999999999</v>
      </c>
      <c r="P36" s="10">
        <f t="shared" si="11"/>
        <v>143.55555555555554</v>
      </c>
      <c r="Q36" s="10">
        <f t="shared" si="12"/>
        <v>46.174045972629102</v>
      </c>
      <c r="R36" s="58" t="str">
        <f t="shared" si="13"/>
        <v>46.1740459726291,143.555555555556</v>
      </c>
    </row>
    <row r="37" spans="14:18" ht="15.75" thickBot="1" x14ac:dyDescent="0.3">
      <c r="N37" s="19">
        <v>13.59</v>
      </c>
      <c r="O37" s="34">
        <v>2940.7835999999998</v>
      </c>
      <c r="P37" s="34">
        <f t="shared" si="11"/>
        <v>151</v>
      </c>
      <c r="Q37" s="34">
        <f t="shared" si="12"/>
        <v>51.11347630447505</v>
      </c>
      <c r="R37" s="59" t="str">
        <f t="shared" si="13"/>
        <v>51.113476304475,151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512D-3E04-450C-B828-173354DC46BE}">
  <dimension ref="A1:U39"/>
  <sheetViews>
    <sheetView zoomScale="85" zoomScaleNormal="85" workbookViewId="0">
      <selection activeCell="V36" sqref="V36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2.5703125" style="4" customWidth="1"/>
    <col min="16" max="16" width="14.140625" style="4" customWidth="1"/>
    <col min="17" max="17" width="16" style="4" customWidth="1"/>
    <col min="18" max="18" width="35.8554687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6.7363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12.409000000000001</v>
      </c>
      <c r="E3" s="10">
        <f>D3+D2</f>
        <v>19.145299999999999</v>
      </c>
      <c r="F3" s="10">
        <f>C3*E3</f>
        <v>19.145299999999999</v>
      </c>
      <c r="G3" s="10">
        <f>G2+F3</f>
        <v>19.145299999999999</v>
      </c>
      <c r="H3" s="10">
        <f t="shared" ref="H3:H17" si="1">B3*D3</f>
        <v>12.409000000000001</v>
      </c>
      <c r="I3" s="10">
        <f>H3+H2</f>
        <v>12.409000000000001</v>
      </c>
      <c r="J3" s="10">
        <f t="shared" ref="J3:J17" si="2">C3*I3</f>
        <v>12.409000000000001</v>
      </c>
      <c r="K3" s="58">
        <f>K2+J3</f>
        <v>12.409000000000001</v>
      </c>
      <c r="N3" s="17">
        <v>1</v>
      </c>
      <c r="O3" s="10">
        <v>19.145299999999999</v>
      </c>
      <c r="P3" s="10">
        <f t="shared" si="0"/>
        <v>11.111111111111111</v>
      </c>
      <c r="Q3" s="10">
        <f t="shared" ref="Q3:Q17" si="3">O3*$R$21</f>
        <v>2.2679382874580059</v>
      </c>
      <c r="R3" s="58" t="str">
        <f t="shared" ref="R3:R17" si="4">CONCATENATE(Q3,",",P3)</f>
        <v>2.26793828745801,11.1111111111111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13.792</v>
      </c>
      <c r="E4" s="10">
        <f t="shared" ref="E4:E17" si="6">D4+D3</f>
        <v>26.201000000000001</v>
      </c>
      <c r="F4" s="10">
        <f t="shared" ref="F4:F17" si="7">C4*E4</f>
        <v>26.201000000000001</v>
      </c>
      <c r="G4" s="10">
        <f t="shared" ref="G4:G17" si="8">G3+F4</f>
        <v>45.346299999999999</v>
      </c>
      <c r="H4" s="10">
        <f t="shared" si="1"/>
        <v>27.584</v>
      </c>
      <c r="I4" s="10">
        <f t="shared" ref="I4:I17" si="9">H4+H3</f>
        <v>39.993000000000002</v>
      </c>
      <c r="J4" s="10">
        <f t="shared" si="2"/>
        <v>39.993000000000002</v>
      </c>
      <c r="K4" s="58">
        <f t="shared" ref="K4:K17" si="10">K3+J4</f>
        <v>52.402000000000001</v>
      </c>
      <c r="N4" s="17">
        <v>2</v>
      </c>
      <c r="O4" s="10">
        <v>45.346299999999999</v>
      </c>
      <c r="P4" s="10">
        <f t="shared" si="0"/>
        <v>22.222222222222221</v>
      </c>
      <c r="Q4" s="10">
        <f t="shared" si="3"/>
        <v>5.3716896556625899</v>
      </c>
      <c r="R4" s="58" t="str">
        <f t="shared" si="4"/>
        <v>5.37168965566259,22.2222222222222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14.592000000000001</v>
      </c>
      <c r="E5" s="10">
        <f t="shared" si="6"/>
        <v>28.384</v>
      </c>
      <c r="F5" s="10">
        <f t="shared" si="7"/>
        <v>28.384</v>
      </c>
      <c r="G5" s="10">
        <f t="shared" si="8"/>
        <v>73.7303</v>
      </c>
      <c r="H5" s="10">
        <f t="shared" si="1"/>
        <v>43.776000000000003</v>
      </c>
      <c r="I5" s="10">
        <f t="shared" si="9"/>
        <v>71.36</v>
      </c>
      <c r="J5" s="10">
        <f t="shared" si="2"/>
        <v>71.36</v>
      </c>
      <c r="K5" s="58">
        <f t="shared" si="10"/>
        <v>123.762</v>
      </c>
      <c r="N5" s="17">
        <v>3</v>
      </c>
      <c r="O5" s="10">
        <v>73.7303</v>
      </c>
      <c r="P5" s="10">
        <f t="shared" si="0"/>
        <v>33.333333333333329</v>
      </c>
      <c r="Q5" s="10">
        <f t="shared" si="3"/>
        <v>8.7340376131878337</v>
      </c>
      <c r="R5" s="58" t="str">
        <f t="shared" si="4"/>
        <v>8.73403761318783,33.3333333333333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15.115</v>
      </c>
      <c r="E6" s="10">
        <f t="shared" si="6"/>
        <v>29.707000000000001</v>
      </c>
      <c r="F6" s="10">
        <f t="shared" si="7"/>
        <v>29.707000000000001</v>
      </c>
      <c r="G6" s="10">
        <f t="shared" si="8"/>
        <v>103.43729999999999</v>
      </c>
      <c r="H6" s="10">
        <f t="shared" si="1"/>
        <v>60.46</v>
      </c>
      <c r="I6" s="10">
        <f t="shared" si="9"/>
        <v>104.236</v>
      </c>
      <c r="J6" s="10">
        <f t="shared" si="2"/>
        <v>104.236</v>
      </c>
      <c r="K6" s="58">
        <f t="shared" si="10"/>
        <v>227.99799999999999</v>
      </c>
      <c r="N6" s="17">
        <v>4</v>
      </c>
      <c r="O6" s="10">
        <v>103.43729999999999</v>
      </c>
      <c r="P6" s="10">
        <f t="shared" si="0"/>
        <v>44.444444444444443</v>
      </c>
      <c r="Q6" s="10">
        <f t="shared" si="3"/>
        <v>12.253107186687073</v>
      </c>
      <c r="R6" s="58" t="str">
        <f t="shared" si="4"/>
        <v>12.2531071866871,44.4444444444444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15.478</v>
      </c>
      <c r="E7" s="10">
        <f t="shared" si="6"/>
        <v>30.593</v>
      </c>
      <c r="F7" s="10">
        <f t="shared" si="7"/>
        <v>30.593</v>
      </c>
      <c r="G7" s="10">
        <f t="shared" si="8"/>
        <v>134.03029999999998</v>
      </c>
      <c r="H7" s="10">
        <f t="shared" si="1"/>
        <v>77.39</v>
      </c>
      <c r="I7" s="10">
        <f t="shared" si="9"/>
        <v>137.85</v>
      </c>
      <c r="J7" s="10">
        <f t="shared" si="2"/>
        <v>137.85</v>
      </c>
      <c r="K7" s="58">
        <f t="shared" si="10"/>
        <v>365.84799999999996</v>
      </c>
      <c r="N7" s="17">
        <v>5</v>
      </c>
      <c r="O7" s="10">
        <v>134.03029999999998</v>
      </c>
      <c r="P7" s="10">
        <f t="shared" si="0"/>
        <v>55.555555555555557</v>
      </c>
      <c r="Q7" s="10">
        <f t="shared" si="3"/>
        <v>15.877131674587641</v>
      </c>
      <c r="R7" s="58" t="str">
        <f t="shared" si="4"/>
        <v>15.8771316745876,55.5555555555556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15.728</v>
      </c>
      <c r="E8" s="10">
        <f t="shared" si="6"/>
        <v>31.206</v>
      </c>
      <c r="F8" s="10">
        <f t="shared" si="7"/>
        <v>31.206</v>
      </c>
      <c r="G8" s="10">
        <f t="shared" si="8"/>
        <v>165.23629999999997</v>
      </c>
      <c r="H8" s="10">
        <f t="shared" si="1"/>
        <v>94.367999999999995</v>
      </c>
      <c r="I8" s="10">
        <f t="shared" si="9"/>
        <v>171.75799999999998</v>
      </c>
      <c r="J8" s="10">
        <f t="shared" si="2"/>
        <v>171.75799999999998</v>
      </c>
      <c r="K8" s="58">
        <f t="shared" si="10"/>
        <v>537.60599999999999</v>
      </c>
      <c r="N8" s="17">
        <v>6</v>
      </c>
      <c r="O8" s="10">
        <v>165.23629999999997</v>
      </c>
      <c r="P8" s="10">
        <f t="shared" si="0"/>
        <v>66.666666666666657</v>
      </c>
      <c r="Q8" s="10">
        <f t="shared" si="3"/>
        <v>19.573771695815541</v>
      </c>
      <c r="R8" s="58" t="str">
        <f t="shared" si="4"/>
        <v>19.5737716958155,66.6666666666667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15.884</v>
      </c>
      <c r="E9" s="10">
        <f t="shared" si="6"/>
        <v>31.612000000000002</v>
      </c>
      <c r="F9" s="10">
        <f t="shared" si="7"/>
        <v>31.612000000000002</v>
      </c>
      <c r="G9" s="10">
        <f t="shared" si="8"/>
        <v>196.84829999999997</v>
      </c>
      <c r="H9" s="10">
        <f t="shared" si="1"/>
        <v>111.188</v>
      </c>
      <c r="I9" s="10">
        <f t="shared" si="9"/>
        <v>205.55599999999998</v>
      </c>
      <c r="J9" s="10">
        <f t="shared" si="2"/>
        <v>205.55599999999998</v>
      </c>
      <c r="K9" s="58">
        <f t="shared" si="10"/>
        <v>743.16200000000003</v>
      </c>
      <c r="N9" s="17">
        <v>7</v>
      </c>
      <c r="O9" s="10">
        <v>196.84829999999997</v>
      </c>
      <c r="P9" s="10">
        <f t="shared" si="0"/>
        <v>77.777777777777771</v>
      </c>
      <c r="Q9" s="10">
        <f t="shared" si="3"/>
        <v>23.318506181204775</v>
      </c>
      <c r="R9" s="58" t="str">
        <f t="shared" si="4"/>
        <v>23.3185061812048,77.7777777777778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15.965999999999999</v>
      </c>
      <c r="E10" s="10">
        <f t="shared" si="6"/>
        <v>31.85</v>
      </c>
      <c r="F10" s="10">
        <f t="shared" si="7"/>
        <v>31.85</v>
      </c>
      <c r="G10" s="10">
        <f t="shared" si="8"/>
        <v>228.69829999999996</v>
      </c>
      <c r="H10" s="10">
        <f t="shared" si="1"/>
        <v>127.72799999999999</v>
      </c>
      <c r="I10" s="10">
        <f t="shared" si="9"/>
        <v>238.916</v>
      </c>
      <c r="J10" s="10">
        <f t="shared" si="2"/>
        <v>238.916</v>
      </c>
      <c r="K10" s="58">
        <f t="shared" si="10"/>
        <v>982.07799999999997</v>
      </c>
      <c r="N10" s="17">
        <v>8</v>
      </c>
      <c r="O10" s="10">
        <v>228.69829999999996</v>
      </c>
      <c r="P10" s="10">
        <f t="shared" si="0"/>
        <v>88.888888888888886</v>
      </c>
      <c r="Q10" s="10">
        <f t="shared" si="3"/>
        <v>27.091433973171341</v>
      </c>
      <c r="R10" s="58" t="str">
        <f t="shared" si="4"/>
        <v>27.0914339731713,88.8888888888889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15.997</v>
      </c>
      <c r="E11" s="10">
        <f t="shared" si="6"/>
        <v>31.963000000000001</v>
      </c>
      <c r="F11" s="10">
        <f t="shared" si="7"/>
        <v>31.963000000000001</v>
      </c>
      <c r="G11" s="10">
        <f t="shared" si="8"/>
        <v>260.66129999999998</v>
      </c>
      <c r="H11" s="10">
        <f t="shared" si="1"/>
        <v>143.97300000000001</v>
      </c>
      <c r="I11" s="10">
        <f t="shared" si="9"/>
        <v>271.70100000000002</v>
      </c>
      <c r="J11" s="10">
        <f t="shared" si="2"/>
        <v>271.70100000000002</v>
      </c>
      <c r="K11" s="58">
        <f t="shared" si="10"/>
        <v>1253.779</v>
      </c>
      <c r="N11" s="17">
        <v>9</v>
      </c>
      <c r="O11" s="10">
        <v>260.66129999999998</v>
      </c>
      <c r="P11" s="10">
        <f t="shared" si="0"/>
        <v>100</v>
      </c>
      <c r="Q11" s="10">
        <f t="shared" si="3"/>
        <v>30.877747662798573</v>
      </c>
      <c r="R11" s="58" t="str">
        <f t="shared" si="4"/>
        <v>30.8777476627986,100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16</v>
      </c>
      <c r="E12" s="10">
        <f t="shared" si="6"/>
        <v>31.997</v>
      </c>
      <c r="F12" s="10">
        <f t="shared" si="7"/>
        <v>31.997</v>
      </c>
      <c r="G12" s="10">
        <f t="shared" si="8"/>
        <v>292.6583</v>
      </c>
      <c r="H12" s="10">
        <f t="shared" si="1"/>
        <v>160</v>
      </c>
      <c r="I12" s="10">
        <f t="shared" si="9"/>
        <v>303.97300000000001</v>
      </c>
      <c r="J12" s="10">
        <f t="shared" si="2"/>
        <v>303.97300000000001</v>
      </c>
      <c r="K12" s="58">
        <f t="shared" si="10"/>
        <v>1557.752</v>
      </c>
      <c r="N12" s="17">
        <v>10</v>
      </c>
      <c r="O12" s="10">
        <v>292.6583</v>
      </c>
      <c r="P12" s="10">
        <f t="shared" si="0"/>
        <v>111.11111111111111</v>
      </c>
      <c r="Q12" s="10">
        <f t="shared" si="3"/>
        <v>34.668088967651144</v>
      </c>
      <c r="R12" s="58" t="str">
        <f t="shared" si="4"/>
        <v>34.6680889676511,111.111111111111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16</v>
      </c>
      <c r="E13" s="10">
        <f t="shared" si="6"/>
        <v>32</v>
      </c>
      <c r="F13" s="10">
        <f t="shared" si="7"/>
        <v>32</v>
      </c>
      <c r="G13" s="10">
        <f t="shared" si="8"/>
        <v>324.6583</v>
      </c>
      <c r="H13" s="10">
        <f t="shared" si="1"/>
        <v>176</v>
      </c>
      <c r="I13" s="10">
        <f t="shared" si="9"/>
        <v>336</v>
      </c>
      <c r="J13" s="10">
        <f t="shared" si="2"/>
        <v>336</v>
      </c>
      <c r="K13" s="58">
        <f t="shared" si="10"/>
        <v>1893.752</v>
      </c>
      <c r="N13" s="17">
        <v>11</v>
      </c>
      <c r="O13" s="10">
        <v>324.6583</v>
      </c>
      <c r="P13" s="10">
        <f t="shared" si="0"/>
        <v>122.22222222222221</v>
      </c>
      <c r="Q13" s="10">
        <f t="shared" si="3"/>
        <v>38.458785650317708</v>
      </c>
      <c r="R13" s="58" t="str">
        <f t="shared" si="4"/>
        <v>38.4587856503177,122.222222222222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32</v>
      </c>
      <c r="F14" s="10">
        <f t="shared" si="7"/>
        <v>32</v>
      </c>
      <c r="G14" s="10">
        <f t="shared" si="8"/>
        <v>356.6583</v>
      </c>
      <c r="H14" s="10">
        <f t="shared" si="1"/>
        <v>192</v>
      </c>
      <c r="I14" s="10">
        <f t="shared" si="9"/>
        <v>368</v>
      </c>
      <c r="J14" s="10">
        <f t="shared" si="2"/>
        <v>368</v>
      </c>
      <c r="K14" s="58">
        <f t="shared" si="10"/>
        <v>2261.752</v>
      </c>
      <c r="N14" s="17">
        <v>12</v>
      </c>
      <c r="O14" s="10">
        <v>356.6583</v>
      </c>
      <c r="P14" s="10">
        <f t="shared" si="0"/>
        <v>133.33333333333331</v>
      </c>
      <c r="Q14" s="10">
        <f t="shared" si="3"/>
        <v>42.249482332984272</v>
      </c>
      <c r="R14" s="58" t="str">
        <f t="shared" si="4"/>
        <v>42.2494823329843,133.333333333333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32</v>
      </c>
      <c r="F15" s="10">
        <f t="shared" si="7"/>
        <v>32</v>
      </c>
      <c r="G15" s="10">
        <f t="shared" si="8"/>
        <v>388.6583</v>
      </c>
      <c r="H15" s="10">
        <f t="shared" si="1"/>
        <v>208</v>
      </c>
      <c r="I15" s="10">
        <f t="shared" si="9"/>
        <v>400</v>
      </c>
      <c r="J15" s="10">
        <f t="shared" si="2"/>
        <v>400</v>
      </c>
      <c r="K15" s="58">
        <f t="shared" si="10"/>
        <v>2661.752</v>
      </c>
      <c r="N15" s="17">
        <v>13</v>
      </c>
      <c r="O15" s="10">
        <v>388.6583</v>
      </c>
      <c r="P15" s="10">
        <f t="shared" si="0"/>
        <v>144.44444444444443</v>
      </c>
      <c r="Q15" s="10">
        <f t="shared" si="3"/>
        <v>46.040179015650835</v>
      </c>
      <c r="R15" s="58" t="str">
        <f t="shared" si="4"/>
        <v>46.0401790156508,144.444444444444</v>
      </c>
    </row>
    <row r="16" spans="1:18" x14ac:dyDescent="0.25">
      <c r="A16" s="17" t="s">
        <v>154</v>
      </c>
      <c r="B16" s="10">
        <v>13.09</v>
      </c>
      <c r="C16" s="10">
        <f t="shared" si="5"/>
        <v>8.9999999999999858E-2</v>
      </c>
      <c r="D16" s="10">
        <v>16</v>
      </c>
      <c r="E16" s="10">
        <f t="shared" si="6"/>
        <v>32</v>
      </c>
      <c r="F16" s="10">
        <f t="shared" si="7"/>
        <v>2.8799999999999955</v>
      </c>
      <c r="G16" s="10">
        <f t="shared" si="8"/>
        <v>391.53829999999999</v>
      </c>
      <c r="H16" s="10">
        <f t="shared" si="1"/>
        <v>209.44</v>
      </c>
      <c r="I16" s="10">
        <f t="shared" si="9"/>
        <v>417.44</v>
      </c>
      <c r="J16" s="10">
        <f t="shared" si="2"/>
        <v>37.569599999999937</v>
      </c>
      <c r="K16" s="58">
        <f t="shared" si="10"/>
        <v>2699.3215999999998</v>
      </c>
      <c r="N16" s="17">
        <v>13.09</v>
      </c>
      <c r="O16" s="10">
        <v>391.53829999999999</v>
      </c>
      <c r="P16" s="10">
        <f t="shared" si="0"/>
        <v>145.44444444444443</v>
      </c>
      <c r="Q16" s="10">
        <f t="shared" si="3"/>
        <v>46.381341717090827</v>
      </c>
      <c r="R16" s="58" t="str">
        <f t="shared" si="4"/>
        <v>46.3813417170908,145.444444444444</v>
      </c>
    </row>
    <row r="17" spans="1:21" ht="15.75" thickBot="1" x14ac:dyDescent="0.3">
      <c r="A17" s="19" t="s">
        <v>5</v>
      </c>
      <c r="B17" s="34">
        <v>13.76</v>
      </c>
      <c r="C17" s="34">
        <f t="shared" si="5"/>
        <v>0.66999999999999993</v>
      </c>
      <c r="D17" s="34">
        <v>16</v>
      </c>
      <c r="E17" s="34">
        <f t="shared" si="6"/>
        <v>32</v>
      </c>
      <c r="F17" s="34">
        <f t="shared" si="7"/>
        <v>21.439999999999998</v>
      </c>
      <c r="G17" s="34">
        <f t="shared" si="8"/>
        <v>412.97829999999999</v>
      </c>
      <c r="H17" s="34">
        <f t="shared" si="1"/>
        <v>220.16</v>
      </c>
      <c r="I17" s="34">
        <f t="shared" si="9"/>
        <v>429.6</v>
      </c>
      <c r="J17" s="34">
        <f t="shared" si="2"/>
        <v>287.83199999999999</v>
      </c>
      <c r="K17" s="59">
        <f t="shared" si="10"/>
        <v>2987.1535999999996</v>
      </c>
      <c r="N17" s="19">
        <v>13.76</v>
      </c>
      <c r="O17" s="34">
        <v>412.97829999999999</v>
      </c>
      <c r="P17" s="34">
        <f t="shared" si="0"/>
        <v>152.88888888888889</v>
      </c>
      <c r="Q17" s="34">
        <f t="shared" si="3"/>
        <v>48.92110849447743</v>
      </c>
      <c r="R17" s="59" t="str">
        <f t="shared" si="4"/>
        <v>48.9211084944774,152.888888888889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12.409000000000001</v>
      </c>
      <c r="P25" s="10">
        <f t="shared" ref="P25:P39" si="11">N25*$O$21</f>
        <v>11.111111111111111</v>
      </c>
      <c r="Q25" s="10">
        <f t="shared" ref="Q25:Q39" si="12">O25*$U$21</f>
        <v>0.21567963295981077</v>
      </c>
      <c r="R25" s="58" t="str">
        <f t="shared" ref="R25:R39" si="13">CONCATENATE(Q25,",",P25)</f>
        <v>0.215679632959811,11.1111111111111</v>
      </c>
    </row>
    <row r="26" spans="1:21" x14ac:dyDescent="0.25">
      <c r="N26" s="17">
        <v>2</v>
      </c>
      <c r="O26" s="10">
        <v>52.402000000000001</v>
      </c>
      <c r="P26" s="10">
        <f t="shared" si="11"/>
        <v>22.222222222222221</v>
      </c>
      <c r="Q26" s="10">
        <f t="shared" si="12"/>
        <v>0.91079411123861742</v>
      </c>
      <c r="R26" s="58" t="str">
        <f t="shared" si="13"/>
        <v>0.910794111238617,22.2222222222222</v>
      </c>
    </row>
    <row r="27" spans="1:21" x14ac:dyDescent="0.25">
      <c r="N27" s="17">
        <v>3</v>
      </c>
      <c r="O27" s="10">
        <v>123.762</v>
      </c>
      <c r="P27" s="10">
        <f t="shared" si="11"/>
        <v>33.333333333333329</v>
      </c>
      <c r="Q27" s="10">
        <f t="shared" si="12"/>
        <v>2.151095393212354</v>
      </c>
      <c r="R27" s="58" t="str">
        <f t="shared" si="13"/>
        <v>2.15109539321235,33.3333333333333</v>
      </c>
    </row>
    <row r="28" spans="1:21" x14ac:dyDescent="0.25">
      <c r="N28" s="17">
        <v>4</v>
      </c>
      <c r="O28" s="10">
        <v>227.99799999999999</v>
      </c>
      <c r="P28" s="10">
        <f t="shared" si="11"/>
        <v>44.444444444444443</v>
      </c>
      <c r="Q28" s="10">
        <f t="shared" si="12"/>
        <v>3.96281126243621</v>
      </c>
      <c r="R28" s="58" t="str">
        <f t="shared" si="13"/>
        <v>3.96281126243621,44.4444444444444</v>
      </c>
    </row>
    <row r="29" spans="1:21" x14ac:dyDescent="0.25">
      <c r="N29" s="17">
        <v>5</v>
      </c>
      <c r="O29" s="10">
        <v>365.84799999999996</v>
      </c>
      <c r="P29" s="10">
        <f t="shared" si="11"/>
        <v>55.555555555555557</v>
      </c>
      <c r="Q29" s="10">
        <f t="shared" si="12"/>
        <v>6.3587688257781316</v>
      </c>
      <c r="R29" s="58" t="str">
        <f t="shared" si="13"/>
        <v>6.35876882577813,55.5555555555556</v>
      </c>
    </row>
    <row r="30" spans="1:21" x14ac:dyDescent="0.25">
      <c r="N30" s="17">
        <v>6</v>
      </c>
      <c r="O30" s="10">
        <v>537.60599999999999</v>
      </c>
      <c r="P30" s="10">
        <f t="shared" si="11"/>
        <v>66.666666666666657</v>
      </c>
      <c r="Q30" s="10">
        <f t="shared" si="12"/>
        <v>9.344078068900961</v>
      </c>
      <c r="R30" s="58" t="str">
        <f t="shared" si="13"/>
        <v>9.34407806890096,66.6666666666667</v>
      </c>
    </row>
    <row r="31" spans="1:21" x14ac:dyDescent="0.25">
      <c r="N31" s="17">
        <v>7</v>
      </c>
      <c r="O31" s="10">
        <v>743.16200000000003</v>
      </c>
      <c r="P31" s="10">
        <f t="shared" si="11"/>
        <v>77.777777777777771</v>
      </c>
      <c r="Q31" s="10">
        <f t="shared" si="12"/>
        <v>12.916827092407035</v>
      </c>
      <c r="R31" s="58" t="str">
        <f t="shared" si="13"/>
        <v>12.916827092407,77.7777777777778</v>
      </c>
    </row>
    <row r="32" spans="1:21" x14ac:dyDescent="0.25">
      <c r="N32" s="17">
        <v>8</v>
      </c>
      <c r="O32" s="10">
        <v>982.07799999999997</v>
      </c>
      <c r="P32" s="10">
        <f t="shared" si="11"/>
        <v>88.888888888888886</v>
      </c>
      <c r="Q32" s="10">
        <f t="shared" si="12"/>
        <v>17.069403060512936</v>
      </c>
      <c r="R32" s="58" t="str">
        <f t="shared" si="13"/>
        <v>17.0694030605129,88.8888888888889</v>
      </c>
    </row>
    <row r="33" spans="14:18" x14ac:dyDescent="0.25">
      <c r="N33" s="17">
        <v>9</v>
      </c>
      <c r="O33" s="10">
        <v>1253.779</v>
      </c>
      <c r="P33" s="10">
        <f t="shared" si="11"/>
        <v>100</v>
      </c>
      <c r="Q33" s="10">
        <f t="shared" si="12"/>
        <v>21.791811953639986</v>
      </c>
      <c r="R33" s="58" t="str">
        <f t="shared" si="13"/>
        <v>21.79181195364,100</v>
      </c>
    </row>
    <row r="34" spans="14:18" x14ac:dyDescent="0.25">
      <c r="N34" s="17">
        <v>10</v>
      </c>
      <c r="O34" s="10">
        <v>1557.752</v>
      </c>
      <c r="P34" s="10">
        <f t="shared" si="11"/>
        <v>111.11111111111111</v>
      </c>
      <c r="Q34" s="10">
        <f t="shared" si="12"/>
        <v>27.07513736823363</v>
      </c>
      <c r="R34" s="58" t="str">
        <f t="shared" si="13"/>
        <v>27.0751373682336,111.111111111111</v>
      </c>
    </row>
    <row r="35" spans="14:18" x14ac:dyDescent="0.25">
      <c r="N35" s="17">
        <v>11</v>
      </c>
      <c r="O35" s="10">
        <v>1893.752</v>
      </c>
      <c r="P35" s="10">
        <f t="shared" si="11"/>
        <v>122.22222222222221</v>
      </c>
      <c r="Q35" s="10">
        <f t="shared" si="12"/>
        <v>32.915120982908171</v>
      </c>
      <c r="R35" s="58" t="str">
        <f t="shared" si="13"/>
        <v>32.9151209829082,122.222222222222</v>
      </c>
    </row>
    <row r="36" spans="14:18" x14ac:dyDescent="0.25">
      <c r="N36" s="17">
        <v>12</v>
      </c>
      <c r="O36" s="10">
        <v>2261.752</v>
      </c>
      <c r="P36" s="10">
        <f t="shared" si="11"/>
        <v>133.33333333333331</v>
      </c>
      <c r="Q36" s="10">
        <f t="shared" si="12"/>
        <v>39.311293513266008</v>
      </c>
      <c r="R36" s="58" t="str">
        <f t="shared" si="13"/>
        <v>39.311293513266,133.333333333333</v>
      </c>
    </row>
    <row r="37" spans="14:18" x14ac:dyDescent="0.25">
      <c r="N37" s="17">
        <v>13</v>
      </c>
      <c r="O37" s="10">
        <v>2661.752</v>
      </c>
      <c r="P37" s="10">
        <f t="shared" si="11"/>
        <v>144.44444444444443</v>
      </c>
      <c r="Q37" s="10">
        <f t="shared" si="12"/>
        <v>46.263654959307132</v>
      </c>
      <c r="R37" s="58" t="str">
        <f t="shared" si="13"/>
        <v>46.2636549593071,144.444444444444</v>
      </c>
    </row>
    <row r="38" spans="14:18" x14ac:dyDescent="0.25">
      <c r="N38" s="17">
        <v>13.09</v>
      </c>
      <c r="O38" s="10">
        <v>2699.3215999999998</v>
      </c>
      <c r="P38" s="10">
        <f t="shared" si="11"/>
        <v>145.44444444444443</v>
      </c>
      <c r="Q38" s="10">
        <f t="shared" si="12"/>
        <v>46.916648555765093</v>
      </c>
      <c r="R38" s="58" t="str">
        <f t="shared" si="13"/>
        <v>46.9166485557651,145.444444444444</v>
      </c>
    </row>
    <row r="39" spans="14:18" ht="15.75" thickBot="1" x14ac:dyDescent="0.3">
      <c r="N39" s="19">
        <v>13.76</v>
      </c>
      <c r="O39" s="34">
        <v>2987.1535999999996</v>
      </c>
      <c r="P39" s="34">
        <f t="shared" si="11"/>
        <v>152.88888888888889</v>
      </c>
      <c r="Q39" s="34">
        <f t="shared" si="12"/>
        <v>51.919428805107366</v>
      </c>
      <c r="R39" s="59" t="str">
        <f t="shared" si="13"/>
        <v>51.9194288051074,152.888888888889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5CC6-1CC1-4FA7-91D2-3F5A68E3761E}">
  <dimension ref="A1:U39"/>
  <sheetViews>
    <sheetView zoomScale="85" zoomScaleNormal="85" workbookViewId="0">
      <selection activeCell="V35" sqref="V35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3.140625" style="4" customWidth="1"/>
    <col min="16" max="16" width="14" style="4" customWidth="1"/>
    <col min="17" max="17" width="18" style="4" customWidth="1"/>
    <col min="18" max="18" width="34.8554687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4.6161000000000003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10.051</v>
      </c>
      <c r="E3" s="10">
        <f>D3+D2</f>
        <v>14.667100000000001</v>
      </c>
      <c r="F3" s="10">
        <f>C3*E3</f>
        <v>14.667100000000001</v>
      </c>
      <c r="G3" s="10">
        <f>G2+F3</f>
        <v>14.667100000000001</v>
      </c>
      <c r="H3" s="10">
        <f t="shared" ref="H3:H17" si="1">B3*D3</f>
        <v>10.051</v>
      </c>
      <c r="I3" s="10">
        <f>H3+H2</f>
        <v>10.051</v>
      </c>
      <c r="J3" s="10">
        <f t="shared" ref="J3:J17" si="2">C3*I3</f>
        <v>10.051</v>
      </c>
      <c r="K3" s="58">
        <f>K2+J3</f>
        <v>10.051</v>
      </c>
      <c r="N3" s="17">
        <v>1</v>
      </c>
      <c r="O3" s="10">
        <v>14.667100000000001</v>
      </c>
      <c r="P3" s="10">
        <f t="shared" si="0"/>
        <v>11.111111111111111</v>
      </c>
      <c r="Q3" s="10">
        <f t="shared" ref="Q3:Q17" si="3">O3*$R$21</f>
        <v>1.7374539785730871</v>
      </c>
      <c r="R3" s="58" t="str">
        <f t="shared" ref="R3:R17" si="4">CONCATENATE(Q3,",",P3)</f>
        <v>1.73745397857309,11.1111111111111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11.795999999999999</v>
      </c>
      <c r="E4" s="10">
        <f t="shared" ref="E4:E17" si="6">D4+D3</f>
        <v>21.847000000000001</v>
      </c>
      <c r="F4" s="10">
        <f t="shared" ref="F4:F17" si="7">C4*E4</f>
        <v>21.847000000000001</v>
      </c>
      <c r="G4" s="10">
        <f t="shared" ref="G4:G17" si="8">G3+F4</f>
        <v>36.514099999999999</v>
      </c>
      <c r="H4" s="10">
        <f t="shared" si="1"/>
        <v>23.591999999999999</v>
      </c>
      <c r="I4" s="10">
        <f t="shared" ref="I4:I17" si="9">H4+H3</f>
        <v>33.643000000000001</v>
      </c>
      <c r="J4" s="10">
        <f t="shared" si="2"/>
        <v>33.643000000000001</v>
      </c>
      <c r="K4" s="58">
        <f t="shared" ref="K4:K17" si="10">K3+J4</f>
        <v>43.694000000000003</v>
      </c>
      <c r="N4" s="17">
        <v>2</v>
      </c>
      <c r="O4" s="10">
        <v>36.514099999999999</v>
      </c>
      <c r="P4" s="10">
        <f t="shared" si="0"/>
        <v>22.222222222222221</v>
      </c>
      <c r="Q4" s="10">
        <f t="shared" si="3"/>
        <v>4.3254336793923516</v>
      </c>
      <c r="R4" s="58" t="str">
        <f t="shared" si="4"/>
        <v>4.32543367939235,22.2222222222222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12.956</v>
      </c>
      <c r="E5" s="10">
        <f t="shared" si="6"/>
        <v>24.751999999999999</v>
      </c>
      <c r="F5" s="10">
        <f t="shared" si="7"/>
        <v>24.751999999999999</v>
      </c>
      <c r="G5" s="10">
        <f t="shared" si="8"/>
        <v>61.266099999999994</v>
      </c>
      <c r="H5" s="10">
        <f t="shared" si="1"/>
        <v>38.867999999999995</v>
      </c>
      <c r="I5" s="10">
        <f t="shared" si="9"/>
        <v>62.459999999999994</v>
      </c>
      <c r="J5" s="10">
        <f t="shared" si="2"/>
        <v>62.459999999999994</v>
      </c>
      <c r="K5" s="58">
        <f t="shared" si="10"/>
        <v>106.154</v>
      </c>
      <c r="N5" s="17">
        <v>3</v>
      </c>
      <c r="O5" s="10">
        <v>61.266099999999994</v>
      </c>
      <c r="P5" s="10">
        <f t="shared" si="0"/>
        <v>33.333333333333329</v>
      </c>
      <c r="Q5" s="10">
        <f t="shared" si="3"/>
        <v>7.2575375634349388</v>
      </c>
      <c r="R5" s="58" t="str">
        <f t="shared" si="4"/>
        <v>7.25753756343494,33.3333333333333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13.795999999999999</v>
      </c>
      <c r="E6" s="10">
        <f t="shared" si="6"/>
        <v>26.751999999999999</v>
      </c>
      <c r="F6" s="10">
        <f t="shared" si="7"/>
        <v>26.751999999999999</v>
      </c>
      <c r="G6" s="10">
        <f t="shared" si="8"/>
        <v>88.01809999999999</v>
      </c>
      <c r="H6" s="10">
        <f t="shared" si="1"/>
        <v>55.183999999999997</v>
      </c>
      <c r="I6" s="10">
        <f t="shared" si="9"/>
        <v>94.051999999999992</v>
      </c>
      <c r="J6" s="10">
        <f t="shared" si="2"/>
        <v>94.051999999999992</v>
      </c>
      <c r="K6" s="58">
        <f t="shared" si="10"/>
        <v>200.20599999999999</v>
      </c>
      <c r="N6" s="17">
        <v>4</v>
      </c>
      <c r="O6" s="10">
        <v>88.01809999999999</v>
      </c>
      <c r="P6" s="10">
        <f t="shared" si="0"/>
        <v>44.444444444444443</v>
      </c>
      <c r="Q6" s="10">
        <f t="shared" si="3"/>
        <v>10.426559990144188</v>
      </c>
      <c r="R6" s="58" t="str">
        <f t="shared" si="4"/>
        <v>10.4265599901442,44.4444444444444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14.433</v>
      </c>
      <c r="E7" s="10">
        <f t="shared" si="6"/>
        <v>28.228999999999999</v>
      </c>
      <c r="F7" s="10">
        <f t="shared" si="7"/>
        <v>28.228999999999999</v>
      </c>
      <c r="G7" s="10">
        <f t="shared" si="8"/>
        <v>116.24709999999999</v>
      </c>
      <c r="H7" s="10">
        <f t="shared" si="1"/>
        <v>72.164999999999992</v>
      </c>
      <c r="I7" s="10">
        <f t="shared" si="9"/>
        <v>127.34899999999999</v>
      </c>
      <c r="J7" s="10">
        <f t="shared" si="2"/>
        <v>127.34899999999999</v>
      </c>
      <c r="K7" s="58">
        <f t="shared" si="10"/>
        <v>327.55499999999995</v>
      </c>
      <c r="N7" s="17">
        <v>5</v>
      </c>
      <c r="O7" s="10">
        <v>116.24709999999999</v>
      </c>
      <c r="P7" s="10">
        <f t="shared" si="0"/>
        <v>55.555555555555557</v>
      </c>
      <c r="Q7" s="10">
        <f t="shared" si="3"/>
        <v>13.770546760612765</v>
      </c>
      <c r="R7" s="58" t="str">
        <f t="shared" si="4"/>
        <v>13.7705467606128,55.5555555555556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14.933999999999999</v>
      </c>
      <c r="E8" s="10">
        <f t="shared" si="6"/>
        <v>29.366999999999997</v>
      </c>
      <c r="F8" s="10">
        <f t="shared" si="7"/>
        <v>29.366999999999997</v>
      </c>
      <c r="G8" s="10">
        <f t="shared" si="8"/>
        <v>145.61409999999998</v>
      </c>
      <c r="H8" s="10">
        <f t="shared" si="1"/>
        <v>89.603999999999999</v>
      </c>
      <c r="I8" s="10">
        <f t="shared" si="9"/>
        <v>161.76900000000001</v>
      </c>
      <c r="J8" s="10">
        <f t="shared" si="2"/>
        <v>161.76900000000001</v>
      </c>
      <c r="K8" s="58">
        <f t="shared" si="10"/>
        <v>489.32399999999996</v>
      </c>
      <c r="N8" s="17">
        <v>6</v>
      </c>
      <c r="O8" s="10">
        <v>145.61409999999998</v>
      </c>
      <c r="P8" s="10">
        <f t="shared" si="0"/>
        <v>66.666666666666657</v>
      </c>
      <c r="Q8" s="10">
        <f t="shared" si="3"/>
        <v>17.24934018185867</v>
      </c>
      <c r="R8" s="58" t="str">
        <f t="shared" si="4"/>
        <v>17.2493401818587,66.6666666666667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15.319000000000001</v>
      </c>
      <c r="E9" s="10">
        <f t="shared" si="6"/>
        <v>30.253</v>
      </c>
      <c r="F9" s="10">
        <f t="shared" si="7"/>
        <v>30.253</v>
      </c>
      <c r="G9" s="10">
        <f t="shared" si="8"/>
        <v>175.86709999999999</v>
      </c>
      <c r="H9" s="10">
        <f t="shared" si="1"/>
        <v>107.233</v>
      </c>
      <c r="I9" s="10">
        <f t="shared" si="9"/>
        <v>196.83699999999999</v>
      </c>
      <c r="J9" s="10">
        <f t="shared" si="2"/>
        <v>196.83699999999999</v>
      </c>
      <c r="K9" s="58">
        <f t="shared" si="10"/>
        <v>686.16099999999994</v>
      </c>
      <c r="N9" s="17">
        <v>7</v>
      </c>
      <c r="O9" s="10">
        <v>175.86709999999999</v>
      </c>
      <c r="P9" s="10">
        <f t="shared" si="0"/>
        <v>77.777777777777771</v>
      </c>
      <c r="Q9" s="10">
        <f t="shared" si="3"/>
        <v>20.83308851750591</v>
      </c>
      <c r="R9" s="58" t="str">
        <f t="shared" si="4"/>
        <v>20.8330885175059,77.7777777777778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15.608000000000001</v>
      </c>
      <c r="E10" s="10">
        <f t="shared" si="6"/>
        <v>30.927</v>
      </c>
      <c r="F10" s="10">
        <f t="shared" si="7"/>
        <v>30.927</v>
      </c>
      <c r="G10" s="10">
        <f t="shared" si="8"/>
        <v>206.79409999999999</v>
      </c>
      <c r="H10" s="10">
        <f t="shared" si="1"/>
        <v>124.864</v>
      </c>
      <c r="I10" s="10">
        <f t="shared" si="9"/>
        <v>232.09700000000001</v>
      </c>
      <c r="J10" s="10">
        <f t="shared" si="2"/>
        <v>232.09700000000001</v>
      </c>
      <c r="K10" s="58">
        <f t="shared" si="10"/>
        <v>918.25799999999992</v>
      </c>
      <c r="N10" s="17">
        <v>8</v>
      </c>
      <c r="O10" s="10">
        <v>206.79409999999999</v>
      </c>
      <c r="P10" s="10">
        <f t="shared" si="0"/>
        <v>88.888888888888886</v>
      </c>
      <c r="Q10" s="10">
        <f t="shared" si="3"/>
        <v>24.496678402031812</v>
      </c>
      <c r="R10" s="58" t="str">
        <f t="shared" si="4"/>
        <v>24.4966784020318,88.8888888888889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15.815</v>
      </c>
      <c r="E11" s="10">
        <f t="shared" si="6"/>
        <v>31.423000000000002</v>
      </c>
      <c r="F11" s="10">
        <f t="shared" si="7"/>
        <v>31.423000000000002</v>
      </c>
      <c r="G11" s="10">
        <f t="shared" si="8"/>
        <v>238.21709999999999</v>
      </c>
      <c r="H11" s="10">
        <f t="shared" si="1"/>
        <v>142.33500000000001</v>
      </c>
      <c r="I11" s="10">
        <f t="shared" si="9"/>
        <v>267.19900000000001</v>
      </c>
      <c r="J11" s="10">
        <f t="shared" si="2"/>
        <v>267.19900000000001</v>
      </c>
      <c r="K11" s="58">
        <f t="shared" si="10"/>
        <v>1185.4569999999999</v>
      </c>
      <c r="N11" s="17">
        <v>9</v>
      </c>
      <c r="O11" s="10">
        <v>238.21709999999999</v>
      </c>
      <c r="P11" s="10">
        <f t="shared" si="0"/>
        <v>100</v>
      </c>
      <c r="Q11" s="10">
        <f t="shared" si="3"/>
        <v>28.219024085139047</v>
      </c>
      <c r="R11" s="58" t="str">
        <f t="shared" si="4"/>
        <v>28.219024085139,100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15.935</v>
      </c>
      <c r="E12" s="10">
        <f t="shared" si="6"/>
        <v>31.75</v>
      </c>
      <c r="F12" s="10">
        <f t="shared" si="7"/>
        <v>31.75</v>
      </c>
      <c r="G12" s="10">
        <f t="shared" si="8"/>
        <v>269.96709999999996</v>
      </c>
      <c r="H12" s="10">
        <f t="shared" si="1"/>
        <v>159.35</v>
      </c>
      <c r="I12" s="10">
        <f t="shared" si="9"/>
        <v>301.685</v>
      </c>
      <c r="J12" s="10">
        <f t="shared" si="2"/>
        <v>301.685</v>
      </c>
      <c r="K12" s="58">
        <f t="shared" si="10"/>
        <v>1487.1419999999998</v>
      </c>
      <c r="N12" s="17">
        <v>10</v>
      </c>
      <c r="O12" s="10">
        <v>269.96709999999996</v>
      </c>
      <c r="P12" s="10">
        <f t="shared" si="0"/>
        <v>111.11111111111111</v>
      </c>
      <c r="Q12" s="10">
        <f t="shared" si="3"/>
        <v>31.980105949972277</v>
      </c>
      <c r="R12" s="58" t="str">
        <f t="shared" si="4"/>
        <v>31.9801059499723,111.111111111111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15.994999999999999</v>
      </c>
      <c r="E13" s="10">
        <f t="shared" si="6"/>
        <v>31.93</v>
      </c>
      <c r="F13" s="10">
        <f t="shared" si="7"/>
        <v>31.93</v>
      </c>
      <c r="G13" s="10">
        <f t="shared" si="8"/>
        <v>301.89709999999997</v>
      </c>
      <c r="H13" s="10">
        <f t="shared" si="1"/>
        <v>175.94499999999999</v>
      </c>
      <c r="I13" s="10">
        <f t="shared" si="9"/>
        <v>335.29499999999996</v>
      </c>
      <c r="J13" s="10">
        <f t="shared" si="2"/>
        <v>335.29499999999996</v>
      </c>
      <c r="K13" s="58">
        <f t="shared" si="10"/>
        <v>1822.4369999999999</v>
      </c>
      <c r="N13" s="17">
        <v>11</v>
      </c>
      <c r="O13" s="10">
        <v>301.89709999999997</v>
      </c>
      <c r="P13" s="10">
        <f t="shared" si="0"/>
        <v>122.22222222222221</v>
      </c>
      <c r="Q13" s="10">
        <f t="shared" si="3"/>
        <v>35.762510483645507</v>
      </c>
      <c r="R13" s="58" t="str">
        <f t="shared" si="4"/>
        <v>35.7625104836455,122.222222222222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16</v>
      </c>
      <c r="E14" s="10">
        <f t="shared" si="6"/>
        <v>31.994999999999997</v>
      </c>
      <c r="F14" s="10">
        <f t="shared" si="7"/>
        <v>31.994999999999997</v>
      </c>
      <c r="G14" s="10">
        <f t="shared" si="8"/>
        <v>333.89209999999997</v>
      </c>
      <c r="H14" s="10">
        <f t="shared" si="1"/>
        <v>192</v>
      </c>
      <c r="I14" s="10">
        <f t="shared" si="9"/>
        <v>367.94499999999999</v>
      </c>
      <c r="J14" s="10">
        <f t="shared" si="2"/>
        <v>367.94499999999999</v>
      </c>
      <c r="K14" s="58">
        <f t="shared" si="10"/>
        <v>2190.3820000000001</v>
      </c>
      <c r="N14" s="17">
        <v>12</v>
      </c>
      <c r="O14" s="10">
        <v>333.89209999999997</v>
      </c>
      <c r="P14" s="10">
        <f t="shared" si="0"/>
        <v>133.33333333333331</v>
      </c>
      <c r="Q14" s="10">
        <f t="shared" si="3"/>
        <v>39.552614869955406</v>
      </c>
      <c r="R14" s="58" t="str">
        <f t="shared" si="4"/>
        <v>39.5526148699554,133.333333333333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32</v>
      </c>
      <c r="F15" s="10">
        <f t="shared" si="7"/>
        <v>32</v>
      </c>
      <c r="G15" s="10">
        <f t="shared" si="8"/>
        <v>365.89209999999997</v>
      </c>
      <c r="H15" s="10">
        <f t="shared" si="1"/>
        <v>208</v>
      </c>
      <c r="I15" s="10">
        <f t="shared" si="9"/>
        <v>400</v>
      </c>
      <c r="J15" s="10">
        <f t="shared" si="2"/>
        <v>400</v>
      </c>
      <c r="K15" s="58">
        <f t="shared" si="10"/>
        <v>2590.3820000000001</v>
      </c>
      <c r="N15" s="17">
        <v>13</v>
      </c>
      <c r="O15" s="10">
        <v>365.89209999999997</v>
      </c>
      <c r="P15" s="10">
        <f t="shared" si="0"/>
        <v>144.44444444444443</v>
      </c>
      <c r="Q15" s="10">
        <f t="shared" si="3"/>
        <v>43.343311552621977</v>
      </c>
      <c r="R15" s="58" t="str">
        <f t="shared" si="4"/>
        <v>43.343311552622,144.444444444444</v>
      </c>
    </row>
    <row r="16" spans="1:18" x14ac:dyDescent="0.25">
      <c r="A16" s="17" t="s">
        <v>154</v>
      </c>
      <c r="B16" s="10">
        <v>13.33</v>
      </c>
      <c r="C16" s="10">
        <f t="shared" si="5"/>
        <v>0.33000000000000007</v>
      </c>
      <c r="D16" s="10">
        <v>16</v>
      </c>
      <c r="E16" s="10">
        <f t="shared" si="6"/>
        <v>32</v>
      </c>
      <c r="F16" s="10">
        <f t="shared" si="7"/>
        <v>10.560000000000002</v>
      </c>
      <c r="G16" s="10">
        <f t="shared" si="8"/>
        <v>376.45209999999997</v>
      </c>
      <c r="H16" s="10">
        <f t="shared" si="1"/>
        <v>213.28</v>
      </c>
      <c r="I16" s="10">
        <f t="shared" si="9"/>
        <v>421.28</v>
      </c>
      <c r="J16" s="10">
        <f t="shared" si="2"/>
        <v>139.02240000000003</v>
      </c>
      <c r="K16" s="58">
        <f t="shared" si="10"/>
        <v>2729.4043999999999</v>
      </c>
      <c r="N16" s="17">
        <v>13.33</v>
      </c>
      <c r="O16" s="10">
        <v>376.45209999999997</v>
      </c>
      <c r="P16" s="10">
        <f t="shared" si="0"/>
        <v>148.11111111111111</v>
      </c>
      <c r="Q16" s="10">
        <f t="shared" si="3"/>
        <v>44.594241457901944</v>
      </c>
      <c r="R16" s="58" t="str">
        <f t="shared" si="4"/>
        <v>44.5942414579019,148.111111111111</v>
      </c>
    </row>
    <row r="17" spans="1:21" ht="15.75" thickBot="1" x14ac:dyDescent="0.3">
      <c r="A17" s="19" t="s">
        <v>5</v>
      </c>
      <c r="B17" s="34">
        <v>13.99</v>
      </c>
      <c r="C17" s="34">
        <f t="shared" si="5"/>
        <v>0.66000000000000014</v>
      </c>
      <c r="D17" s="34">
        <v>16</v>
      </c>
      <c r="E17" s="34">
        <f t="shared" si="6"/>
        <v>32</v>
      </c>
      <c r="F17" s="34">
        <f t="shared" si="7"/>
        <v>21.120000000000005</v>
      </c>
      <c r="G17" s="34">
        <f t="shared" si="8"/>
        <v>397.57209999999998</v>
      </c>
      <c r="H17" s="34">
        <f t="shared" si="1"/>
        <v>223.84</v>
      </c>
      <c r="I17" s="34">
        <f t="shared" si="9"/>
        <v>437.12</v>
      </c>
      <c r="J17" s="34">
        <f t="shared" si="2"/>
        <v>288.49920000000009</v>
      </c>
      <c r="K17" s="59">
        <f t="shared" si="10"/>
        <v>3017.9036000000001</v>
      </c>
      <c r="N17" s="19">
        <v>13.99</v>
      </c>
      <c r="O17" s="34">
        <v>397.57209999999998</v>
      </c>
      <c r="P17" s="34">
        <f t="shared" si="0"/>
        <v>155.44444444444443</v>
      </c>
      <c r="Q17" s="34">
        <f t="shared" si="3"/>
        <v>47.096101268461872</v>
      </c>
      <c r="R17" s="59" t="str">
        <f t="shared" si="4"/>
        <v>47.0961012684619,155.444444444444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10.051</v>
      </c>
      <c r="P25" s="10">
        <f t="shared" ref="P25:P39" si="11">N25*$O$21</f>
        <v>11.111111111111111</v>
      </c>
      <c r="Q25" s="10">
        <f t="shared" ref="Q25:Q39" si="12">O25*$U$21</f>
        <v>0.17469546223539834</v>
      </c>
      <c r="R25" s="58" t="str">
        <f t="shared" ref="R25:R39" si="13">CONCATENATE(Q25,",",P25)</f>
        <v>0.174695462235398,11.1111111111111</v>
      </c>
    </row>
    <row r="26" spans="1:21" x14ac:dyDescent="0.25">
      <c r="N26" s="17">
        <v>2</v>
      </c>
      <c r="O26" s="10">
        <v>43.694000000000003</v>
      </c>
      <c r="P26" s="10">
        <f t="shared" si="11"/>
        <v>22.222222222222221</v>
      </c>
      <c r="Q26" s="10">
        <f t="shared" si="12"/>
        <v>0.75944120255830216</v>
      </c>
      <c r="R26" s="58" t="str">
        <f t="shared" si="13"/>
        <v>0.759441202558302,22.2222222222222</v>
      </c>
    </row>
    <row r="27" spans="1:21" x14ac:dyDescent="0.25">
      <c r="N27" s="17">
        <v>3</v>
      </c>
      <c r="O27" s="10">
        <v>106.154</v>
      </c>
      <c r="P27" s="10">
        <f t="shared" si="11"/>
        <v>33.333333333333329</v>
      </c>
      <c r="Q27" s="10">
        <f t="shared" si="12"/>
        <v>1.8450524423576236</v>
      </c>
      <c r="R27" s="58" t="str">
        <f t="shared" si="13"/>
        <v>1.84505244235762,33.3333333333333</v>
      </c>
    </row>
    <row r="28" spans="1:21" x14ac:dyDescent="0.25">
      <c r="N28" s="17">
        <v>4</v>
      </c>
      <c r="O28" s="10">
        <v>200.20599999999999</v>
      </c>
      <c r="P28" s="10">
        <f t="shared" si="11"/>
        <v>44.444444444444443</v>
      </c>
      <c r="Q28" s="10">
        <f t="shared" si="12"/>
        <v>3.4797611891652727</v>
      </c>
      <c r="R28" s="58" t="str">
        <f t="shared" si="13"/>
        <v>3.47976118916527,44.4444444444444</v>
      </c>
    </row>
    <row r="29" spans="1:21" x14ac:dyDescent="0.25">
      <c r="N29" s="17">
        <v>5</v>
      </c>
      <c r="O29" s="10">
        <v>327.55499999999995</v>
      </c>
      <c r="P29" s="10">
        <f t="shared" si="11"/>
        <v>55.555555555555557</v>
      </c>
      <c r="Q29" s="10">
        <f t="shared" si="12"/>
        <v>5.693201883645</v>
      </c>
      <c r="R29" s="58" t="str">
        <f t="shared" si="13"/>
        <v>5.693201883645,55.5555555555556</v>
      </c>
    </row>
    <row r="30" spans="1:21" x14ac:dyDescent="0.25">
      <c r="N30" s="17">
        <v>6</v>
      </c>
      <c r="O30" s="10">
        <v>489.32399999999996</v>
      </c>
      <c r="P30" s="10">
        <f t="shared" si="11"/>
        <v>66.666666666666657</v>
      </c>
      <c r="Q30" s="10">
        <f t="shared" si="12"/>
        <v>8.5048932805565656</v>
      </c>
      <c r="R30" s="58" t="str">
        <f t="shared" si="13"/>
        <v>8.50489328055657,66.6666666666667</v>
      </c>
    </row>
    <row r="31" spans="1:21" x14ac:dyDescent="0.25">
      <c r="N31" s="17">
        <v>7</v>
      </c>
      <c r="O31" s="10">
        <v>686.16099999999994</v>
      </c>
      <c r="P31" s="10">
        <f t="shared" si="11"/>
        <v>77.777777777777771</v>
      </c>
      <c r="Q31" s="10">
        <f t="shared" si="12"/>
        <v>11.926098205442557</v>
      </c>
      <c r="R31" s="58" t="str">
        <f t="shared" si="13"/>
        <v>11.9260982054426,77.7777777777778</v>
      </c>
    </row>
    <row r="32" spans="1:21" x14ac:dyDescent="0.25">
      <c r="N32" s="17">
        <v>8</v>
      </c>
      <c r="O32" s="10">
        <v>918.25799999999992</v>
      </c>
      <c r="P32" s="10">
        <f t="shared" si="11"/>
        <v>88.888888888888886</v>
      </c>
      <c r="Q32" s="10">
        <f t="shared" si="12"/>
        <v>15.960153791797074</v>
      </c>
      <c r="R32" s="58" t="str">
        <f t="shared" si="13"/>
        <v>15.9601537917971,88.8888888888889</v>
      </c>
    </row>
    <row r="33" spans="14:18" x14ac:dyDescent="0.25">
      <c r="N33" s="17">
        <v>9</v>
      </c>
      <c r="O33" s="10">
        <v>1185.4569999999999</v>
      </c>
      <c r="P33" s="10">
        <f t="shared" si="11"/>
        <v>100</v>
      </c>
      <c r="Q33" s="10">
        <f t="shared" si="12"/>
        <v>20.604313856848929</v>
      </c>
      <c r="R33" s="58" t="str">
        <f t="shared" si="13"/>
        <v>20.6043138568489,100</v>
      </c>
    </row>
    <row r="34" spans="14:18" x14ac:dyDescent="0.25">
      <c r="N34" s="17">
        <v>10</v>
      </c>
      <c r="O34" s="10">
        <v>1487.1419999999998</v>
      </c>
      <c r="P34" s="10">
        <f t="shared" si="11"/>
        <v>111.11111111111111</v>
      </c>
      <c r="Q34" s="10">
        <f t="shared" si="12"/>
        <v>25.847871763971217</v>
      </c>
      <c r="R34" s="58" t="str">
        <f t="shared" si="13"/>
        <v>25.8478717639712,111.111111111111</v>
      </c>
    </row>
    <row r="35" spans="14:18" x14ac:dyDescent="0.25">
      <c r="N35" s="17">
        <v>11</v>
      </c>
      <c r="O35" s="10">
        <v>1822.4369999999999</v>
      </c>
      <c r="P35" s="10">
        <f t="shared" si="11"/>
        <v>122.22222222222221</v>
      </c>
      <c r="Q35" s="10">
        <f t="shared" si="12"/>
        <v>31.675601841597114</v>
      </c>
      <c r="R35" s="58" t="str">
        <f t="shared" si="13"/>
        <v>31.6756018415971,122.222222222222</v>
      </c>
    </row>
    <row r="36" spans="14:18" x14ac:dyDescent="0.25">
      <c r="N36" s="17">
        <v>12</v>
      </c>
      <c r="O36" s="10">
        <v>2190.3820000000001</v>
      </c>
      <c r="P36" s="10">
        <f t="shared" si="11"/>
        <v>133.33333333333331</v>
      </c>
      <c r="Q36" s="10">
        <f t="shared" si="12"/>
        <v>38.070818422256124</v>
      </c>
      <c r="R36" s="58" t="str">
        <f t="shared" si="13"/>
        <v>38.0708184222561,133.333333333333</v>
      </c>
    </row>
    <row r="37" spans="14:18" x14ac:dyDescent="0.25">
      <c r="N37" s="17">
        <v>13</v>
      </c>
      <c r="O37" s="10">
        <v>2590.3820000000001</v>
      </c>
      <c r="P37" s="10">
        <f t="shared" si="11"/>
        <v>144.44444444444443</v>
      </c>
      <c r="Q37" s="10">
        <f t="shared" si="12"/>
        <v>45.023179868297248</v>
      </c>
      <c r="R37" s="58" t="str">
        <f t="shared" si="13"/>
        <v>45.0231798682972,144.444444444444</v>
      </c>
    </row>
    <row r="38" spans="14:18" x14ac:dyDescent="0.25">
      <c r="N38" s="17">
        <v>13.33</v>
      </c>
      <c r="O38" s="10">
        <v>2729.4043999999999</v>
      </c>
      <c r="P38" s="10">
        <f t="shared" si="11"/>
        <v>148.11111111111111</v>
      </c>
      <c r="Q38" s="10">
        <f t="shared" si="12"/>
        <v>47.439514803037511</v>
      </c>
      <c r="R38" s="58" t="str">
        <f t="shared" si="13"/>
        <v>47.4395148030375,148.111111111111</v>
      </c>
    </row>
    <row r="39" spans="14:18" ht="15.75" thickBot="1" x14ac:dyDescent="0.3">
      <c r="N39" s="19">
        <v>13.99</v>
      </c>
      <c r="O39" s="34">
        <v>3017.9036000000001</v>
      </c>
      <c r="P39" s="34">
        <f t="shared" si="11"/>
        <v>155.44444444444443</v>
      </c>
      <c r="Q39" s="34">
        <f t="shared" si="12"/>
        <v>52.453891591271784</v>
      </c>
      <c r="R39" s="59" t="str">
        <f t="shared" si="13"/>
        <v>52.4538915912718,155.444444444444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87EB-CE5F-4999-85B3-32F4BB42BFCD}">
  <dimension ref="A1:U39"/>
  <sheetViews>
    <sheetView zoomScale="85" zoomScaleNormal="85" workbookViewId="0">
      <selection activeCell="T41" sqref="T41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2.140625" style="4" customWidth="1"/>
    <col min="16" max="16" width="13.7109375" style="4" customWidth="1"/>
    <col min="17" max="17" width="17.28515625" style="4" customWidth="1"/>
    <col min="18" max="18" width="36.425781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2.8936999999999999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 t="shared" ref="P2:P17" si="0">N2*$O$21</f>
        <v>0</v>
      </c>
      <c r="Q2" s="51">
        <f>O2*$R$21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7.2473999999999998</v>
      </c>
      <c r="E3" s="10">
        <f>D3+D2</f>
        <v>10.1411</v>
      </c>
      <c r="F3" s="10">
        <f>C3*E3</f>
        <v>10.1411</v>
      </c>
      <c r="G3" s="10">
        <f>G2+F3</f>
        <v>10.1411</v>
      </c>
      <c r="H3" s="10">
        <f t="shared" ref="H3:H17" si="1">B3*D3</f>
        <v>7.2473999999999998</v>
      </c>
      <c r="I3" s="10">
        <f>H3+H2</f>
        <v>7.2473999999999998</v>
      </c>
      <c r="J3" s="10">
        <f t="shared" ref="J3:J17" si="2">C3*I3</f>
        <v>7.2473999999999998</v>
      </c>
      <c r="K3" s="58">
        <f>K2+J3</f>
        <v>7.2473999999999998</v>
      </c>
      <c r="N3" s="17">
        <v>1</v>
      </c>
      <c r="O3" s="10">
        <v>10.1411</v>
      </c>
      <c r="P3" s="10">
        <f t="shared" si="0"/>
        <v>11.111111111111111</v>
      </c>
      <c r="Q3" s="10">
        <f t="shared" ref="Q3:Q17" si="3">O3*$R$21</f>
        <v>1.2013073165184347</v>
      </c>
      <c r="R3" s="58" t="str">
        <f t="shared" ref="R3:R17" si="4">CONCATENATE(Q3,",",P3)</f>
        <v>1.20130731651843,11.1111111111111</v>
      </c>
    </row>
    <row r="4" spans="1:18" x14ac:dyDescent="0.25">
      <c r="A4" s="17">
        <v>2</v>
      </c>
      <c r="B4" s="10">
        <v>2</v>
      </c>
      <c r="C4" s="10">
        <f t="shared" ref="C4:C17" si="5">B4-B3</f>
        <v>1</v>
      </c>
      <c r="D4" s="11">
        <v>8.9589999999999996</v>
      </c>
      <c r="E4" s="10">
        <f t="shared" ref="E4:E17" si="6">D4+D3</f>
        <v>16.206399999999999</v>
      </c>
      <c r="F4" s="10">
        <f t="shared" ref="F4:F17" si="7">C4*E4</f>
        <v>16.206399999999999</v>
      </c>
      <c r="G4" s="10">
        <f t="shared" ref="G4:G17" si="8">G3+F4</f>
        <v>26.347499999999997</v>
      </c>
      <c r="H4" s="10">
        <f t="shared" si="1"/>
        <v>17.917999999999999</v>
      </c>
      <c r="I4" s="10">
        <f t="shared" ref="I4:I17" si="9">H4+H3</f>
        <v>25.165399999999998</v>
      </c>
      <c r="J4" s="10">
        <f t="shared" si="2"/>
        <v>25.165399999999998</v>
      </c>
      <c r="K4" s="58">
        <f t="shared" ref="K4:K17" si="10">K3+J4</f>
        <v>32.412799999999997</v>
      </c>
      <c r="N4" s="17">
        <v>2</v>
      </c>
      <c r="O4" s="10">
        <v>26.347499999999997</v>
      </c>
      <c r="P4" s="10">
        <f t="shared" si="0"/>
        <v>22.222222222222221</v>
      </c>
      <c r="Q4" s="10">
        <f t="shared" si="3"/>
        <v>3.1211056514549163</v>
      </c>
      <c r="R4" s="58" t="str">
        <f t="shared" si="4"/>
        <v>3.12110565145492,22.2222222222222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10.238</v>
      </c>
      <c r="E5" s="10">
        <f t="shared" si="6"/>
        <v>19.196999999999999</v>
      </c>
      <c r="F5" s="10">
        <f t="shared" si="7"/>
        <v>19.196999999999999</v>
      </c>
      <c r="G5" s="10">
        <f t="shared" si="8"/>
        <v>45.544499999999999</v>
      </c>
      <c r="H5" s="10">
        <f t="shared" si="1"/>
        <v>30.713999999999999</v>
      </c>
      <c r="I5" s="10">
        <f t="shared" si="9"/>
        <v>48.631999999999998</v>
      </c>
      <c r="J5" s="10">
        <f t="shared" si="2"/>
        <v>48.631999999999998</v>
      </c>
      <c r="K5" s="58">
        <f t="shared" si="10"/>
        <v>81.044799999999995</v>
      </c>
      <c r="N5" s="17">
        <v>3</v>
      </c>
      <c r="O5" s="10">
        <v>45.544499999999999</v>
      </c>
      <c r="P5" s="10">
        <f t="shared" si="0"/>
        <v>33.333333333333329</v>
      </c>
      <c r="Q5" s="10">
        <f t="shared" si="3"/>
        <v>5.3951682832408556</v>
      </c>
      <c r="R5" s="58" t="str">
        <f t="shared" si="4"/>
        <v>5.39516828324086,33.3333333333333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11.298</v>
      </c>
      <c r="E6" s="10">
        <f t="shared" si="6"/>
        <v>21.536000000000001</v>
      </c>
      <c r="F6" s="10">
        <f t="shared" si="7"/>
        <v>21.536000000000001</v>
      </c>
      <c r="G6" s="10">
        <f t="shared" si="8"/>
        <v>67.080500000000001</v>
      </c>
      <c r="H6" s="10">
        <f t="shared" si="1"/>
        <v>45.192</v>
      </c>
      <c r="I6" s="10">
        <f t="shared" si="9"/>
        <v>75.906000000000006</v>
      </c>
      <c r="J6" s="10">
        <f t="shared" si="2"/>
        <v>75.906000000000006</v>
      </c>
      <c r="K6" s="58">
        <f t="shared" si="10"/>
        <v>156.95080000000002</v>
      </c>
      <c r="N6" s="17">
        <v>4</v>
      </c>
      <c r="O6" s="10">
        <v>67.080500000000001</v>
      </c>
      <c r="P6" s="10">
        <f t="shared" si="0"/>
        <v>44.444444444444443</v>
      </c>
      <c r="Q6" s="10">
        <f t="shared" si="3"/>
        <v>7.9463071506754552</v>
      </c>
      <c r="R6" s="58" t="str">
        <f t="shared" si="4"/>
        <v>7.94630715067546,44.4444444444444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12.215</v>
      </c>
      <c r="E7" s="10">
        <f t="shared" si="6"/>
        <v>23.512999999999998</v>
      </c>
      <c r="F7" s="10">
        <f t="shared" si="7"/>
        <v>23.512999999999998</v>
      </c>
      <c r="G7" s="10">
        <f t="shared" si="8"/>
        <v>90.593500000000006</v>
      </c>
      <c r="H7" s="10">
        <f t="shared" si="1"/>
        <v>61.075000000000003</v>
      </c>
      <c r="I7" s="10">
        <f t="shared" si="9"/>
        <v>106.267</v>
      </c>
      <c r="J7" s="10">
        <f t="shared" si="2"/>
        <v>106.267</v>
      </c>
      <c r="K7" s="58">
        <f t="shared" si="10"/>
        <v>263.21780000000001</v>
      </c>
      <c r="N7" s="17">
        <v>5</v>
      </c>
      <c r="O7" s="10">
        <v>90.593500000000006</v>
      </c>
      <c r="P7" s="10">
        <f t="shared" si="0"/>
        <v>55.555555555555557</v>
      </c>
      <c r="Q7" s="10">
        <f t="shared" si="3"/>
        <v>10.731639997536048</v>
      </c>
      <c r="R7" s="58" t="str">
        <f t="shared" si="4"/>
        <v>10.731639997536,55.5555555555556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13.01</v>
      </c>
      <c r="E8" s="10">
        <f t="shared" si="6"/>
        <v>25.225000000000001</v>
      </c>
      <c r="F8" s="10">
        <f t="shared" si="7"/>
        <v>25.225000000000001</v>
      </c>
      <c r="G8" s="10">
        <f t="shared" si="8"/>
        <v>115.8185</v>
      </c>
      <c r="H8" s="10">
        <f t="shared" si="1"/>
        <v>78.06</v>
      </c>
      <c r="I8" s="10">
        <f t="shared" si="9"/>
        <v>139.13499999999999</v>
      </c>
      <c r="J8" s="10">
        <f t="shared" si="2"/>
        <v>139.13499999999999</v>
      </c>
      <c r="K8" s="58">
        <f t="shared" si="10"/>
        <v>402.3528</v>
      </c>
      <c r="N8" s="17">
        <v>6</v>
      </c>
      <c r="O8" s="10">
        <v>115.8185</v>
      </c>
      <c r="P8" s="10">
        <f t="shared" si="0"/>
        <v>66.666666666666657</v>
      </c>
      <c r="Q8" s="10">
        <f t="shared" si="3"/>
        <v>13.719775116919301</v>
      </c>
      <c r="R8" s="58" t="str">
        <f t="shared" si="4"/>
        <v>13.7197751169193,66.6666666666667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13.696999999999999</v>
      </c>
      <c r="E9" s="10">
        <f t="shared" si="6"/>
        <v>26.707000000000001</v>
      </c>
      <c r="F9" s="10">
        <f t="shared" si="7"/>
        <v>26.707000000000001</v>
      </c>
      <c r="G9" s="10">
        <f t="shared" si="8"/>
        <v>142.52549999999999</v>
      </c>
      <c r="H9" s="10">
        <f t="shared" si="1"/>
        <v>95.878999999999991</v>
      </c>
      <c r="I9" s="10">
        <f t="shared" si="9"/>
        <v>173.93899999999999</v>
      </c>
      <c r="J9" s="10">
        <f t="shared" si="2"/>
        <v>173.93899999999999</v>
      </c>
      <c r="K9" s="58">
        <f t="shared" si="10"/>
        <v>576.29179999999997</v>
      </c>
      <c r="N9" s="17">
        <v>7</v>
      </c>
      <c r="O9" s="10">
        <v>142.52549999999999</v>
      </c>
      <c r="P9" s="10">
        <f t="shared" si="0"/>
        <v>77.777777777777771</v>
      </c>
      <c r="Q9" s="10">
        <f t="shared" si="3"/>
        <v>16.883466876418549</v>
      </c>
      <c r="R9" s="58" t="str">
        <f t="shared" si="4"/>
        <v>16.8834668764185,77.7777777777778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14.291</v>
      </c>
      <c r="E10" s="10">
        <f t="shared" si="6"/>
        <v>27.988</v>
      </c>
      <c r="F10" s="10">
        <f t="shared" si="7"/>
        <v>27.988</v>
      </c>
      <c r="G10" s="10">
        <f t="shared" si="8"/>
        <v>170.51349999999999</v>
      </c>
      <c r="H10" s="10">
        <f t="shared" si="1"/>
        <v>114.328</v>
      </c>
      <c r="I10" s="10">
        <f t="shared" si="9"/>
        <v>210.20699999999999</v>
      </c>
      <c r="J10" s="10">
        <f t="shared" si="2"/>
        <v>210.20699999999999</v>
      </c>
      <c r="K10" s="58">
        <f t="shared" si="10"/>
        <v>786.49879999999996</v>
      </c>
      <c r="N10" s="17">
        <v>8</v>
      </c>
      <c r="O10" s="10">
        <v>170.51349999999999</v>
      </c>
      <c r="P10" s="10">
        <f t="shared" si="0"/>
        <v>88.888888888888886</v>
      </c>
      <c r="Q10" s="10">
        <f t="shared" si="3"/>
        <v>20.198904962495792</v>
      </c>
      <c r="R10" s="58" t="str">
        <f t="shared" si="4"/>
        <v>20.1989049624958,88.8888888888889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14.805</v>
      </c>
      <c r="E11" s="10">
        <f t="shared" si="6"/>
        <v>29.096</v>
      </c>
      <c r="F11" s="10">
        <f t="shared" si="7"/>
        <v>29.096</v>
      </c>
      <c r="G11" s="10">
        <f t="shared" si="8"/>
        <v>199.6095</v>
      </c>
      <c r="H11" s="10">
        <f t="shared" si="1"/>
        <v>133.245</v>
      </c>
      <c r="I11" s="10">
        <f t="shared" si="9"/>
        <v>247.57300000000001</v>
      </c>
      <c r="J11" s="10">
        <f t="shared" si="2"/>
        <v>247.57300000000001</v>
      </c>
      <c r="K11" s="58">
        <f t="shared" si="10"/>
        <v>1034.0717999999999</v>
      </c>
      <c r="N11" s="17">
        <v>9</v>
      </c>
      <c r="O11" s="10">
        <v>199.6095</v>
      </c>
      <c r="P11" s="10">
        <f t="shared" si="0"/>
        <v>100</v>
      </c>
      <c r="Q11" s="10">
        <f t="shared" si="3"/>
        <v>23.645595921210369</v>
      </c>
      <c r="R11" s="58" t="str">
        <f t="shared" si="4"/>
        <v>23.6455959212104,100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15.250999999999999</v>
      </c>
      <c r="E12" s="10">
        <f t="shared" si="6"/>
        <v>30.055999999999997</v>
      </c>
      <c r="F12" s="10">
        <f t="shared" si="7"/>
        <v>30.055999999999997</v>
      </c>
      <c r="G12" s="10">
        <f t="shared" si="8"/>
        <v>229.66550000000001</v>
      </c>
      <c r="H12" s="10">
        <f t="shared" si="1"/>
        <v>152.51</v>
      </c>
      <c r="I12" s="10">
        <f t="shared" si="9"/>
        <v>285.755</v>
      </c>
      <c r="J12" s="10">
        <f t="shared" si="2"/>
        <v>285.755</v>
      </c>
      <c r="K12" s="58">
        <f t="shared" si="10"/>
        <v>1319.8267999999998</v>
      </c>
      <c r="N12" s="17">
        <v>10</v>
      </c>
      <c r="O12" s="10">
        <v>229.66550000000001</v>
      </c>
      <c r="P12" s="10">
        <f t="shared" si="0"/>
        <v>111.11111111111111</v>
      </c>
      <c r="Q12" s="10">
        <f t="shared" si="3"/>
        <v>27.206007780404942</v>
      </c>
      <c r="R12" s="58" t="str">
        <f t="shared" si="4"/>
        <v>27.2060077804049,111.111111111111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15.613</v>
      </c>
      <c r="E13" s="10">
        <f t="shared" si="6"/>
        <v>30.863999999999997</v>
      </c>
      <c r="F13" s="10">
        <f t="shared" si="7"/>
        <v>30.863999999999997</v>
      </c>
      <c r="G13" s="10">
        <f t="shared" si="8"/>
        <v>260.52949999999998</v>
      </c>
      <c r="H13" s="10">
        <f t="shared" si="1"/>
        <v>171.74299999999999</v>
      </c>
      <c r="I13" s="10">
        <f t="shared" si="9"/>
        <v>324.25299999999999</v>
      </c>
      <c r="J13" s="10">
        <f t="shared" si="2"/>
        <v>324.25299999999999</v>
      </c>
      <c r="K13" s="58">
        <f t="shared" si="10"/>
        <v>1644.0797999999998</v>
      </c>
      <c r="N13" s="17">
        <v>11</v>
      </c>
      <c r="O13" s="10">
        <v>260.52949999999998</v>
      </c>
      <c r="P13" s="10">
        <f t="shared" si="0"/>
        <v>122.22222222222221</v>
      </c>
      <c r="Q13" s="10">
        <f t="shared" si="3"/>
        <v>30.862134730836843</v>
      </c>
      <c r="R13" s="58" t="str">
        <f t="shared" si="4"/>
        <v>30.8621347308368,122.222222222222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15.879</v>
      </c>
      <c r="E14" s="10">
        <f t="shared" si="6"/>
        <v>31.491999999999997</v>
      </c>
      <c r="F14" s="10">
        <f t="shared" si="7"/>
        <v>31.491999999999997</v>
      </c>
      <c r="G14" s="10">
        <f t="shared" si="8"/>
        <v>292.0215</v>
      </c>
      <c r="H14" s="10">
        <f t="shared" si="1"/>
        <v>190.548</v>
      </c>
      <c r="I14" s="10">
        <f t="shared" si="9"/>
        <v>362.291</v>
      </c>
      <c r="J14" s="10">
        <f t="shared" si="2"/>
        <v>362.291</v>
      </c>
      <c r="K14" s="58">
        <f t="shared" si="10"/>
        <v>2006.3707999999997</v>
      </c>
      <c r="N14" s="17">
        <v>12</v>
      </c>
      <c r="O14" s="10">
        <v>292.0215</v>
      </c>
      <c r="P14" s="10">
        <f t="shared" si="0"/>
        <v>133.33333333333331</v>
      </c>
      <c r="Q14" s="10">
        <f t="shared" si="3"/>
        <v>34.592654103666078</v>
      </c>
      <c r="R14" s="58" t="str">
        <f t="shared" si="4"/>
        <v>34.5926541036661,133.333333333333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16</v>
      </c>
      <c r="E15" s="10">
        <f t="shared" si="6"/>
        <v>31.878999999999998</v>
      </c>
      <c r="F15" s="10">
        <f t="shared" si="7"/>
        <v>31.878999999999998</v>
      </c>
      <c r="G15" s="10">
        <f t="shared" si="8"/>
        <v>323.90050000000002</v>
      </c>
      <c r="H15" s="10">
        <f t="shared" si="1"/>
        <v>208</v>
      </c>
      <c r="I15" s="10">
        <f t="shared" si="9"/>
        <v>398.548</v>
      </c>
      <c r="J15" s="10">
        <f t="shared" si="2"/>
        <v>398.548</v>
      </c>
      <c r="K15" s="58">
        <f t="shared" si="10"/>
        <v>2404.9187999999995</v>
      </c>
      <c r="N15" s="17">
        <v>13</v>
      </c>
      <c r="O15" s="10">
        <v>323.90050000000002</v>
      </c>
      <c r="P15" s="10">
        <f t="shared" si="0"/>
        <v>144.44444444444443</v>
      </c>
      <c r="Q15" s="10">
        <f t="shared" si="3"/>
        <v>38.369017214501312</v>
      </c>
      <c r="R15" s="58" t="str">
        <f t="shared" si="4"/>
        <v>38.3690172145013,144.444444444444</v>
      </c>
    </row>
    <row r="16" spans="1:18" x14ac:dyDescent="0.25">
      <c r="A16" s="17" t="s">
        <v>154</v>
      </c>
      <c r="B16" s="10">
        <v>13.64</v>
      </c>
      <c r="C16" s="10">
        <f t="shared" si="5"/>
        <v>0.64000000000000057</v>
      </c>
      <c r="D16" s="10">
        <v>15.93</v>
      </c>
      <c r="E16" s="10">
        <f t="shared" si="6"/>
        <v>31.93</v>
      </c>
      <c r="F16" s="10">
        <f t="shared" si="7"/>
        <v>20.43520000000002</v>
      </c>
      <c r="G16" s="10">
        <f t="shared" si="8"/>
        <v>344.33570000000003</v>
      </c>
      <c r="H16" s="10">
        <f t="shared" si="1"/>
        <v>217.2852</v>
      </c>
      <c r="I16" s="10">
        <f t="shared" si="9"/>
        <v>425.28520000000003</v>
      </c>
      <c r="J16" s="10">
        <f t="shared" si="2"/>
        <v>272.18252800000027</v>
      </c>
      <c r="K16" s="58">
        <f t="shared" si="10"/>
        <v>2677.1013279999997</v>
      </c>
      <c r="N16" s="17">
        <v>13.64</v>
      </c>
      <c r="O16" s="10">
        <v>344.33570000000003</v>
      </c>
      <c r="P16" s="10">
        <f t="shared" si="0"/>
        <v>151.55555555555554</v>
      </c>
      <c r="Q16" s="10">
        <f t="shared" si="3"/>
        <v>40.789756116052182</v>
      </c>
      <c r="R16" s="58" t="str">
        <f t="shared" si="4"/>
        <v>40.7897561160522,151.555555555556</v>
      </c>
    </row>
    <row r="17" spans="1:21" ht="15.75" thickBot="1" x14ac:dyDescent="0.3">
      <c r="A17" s="19" t="s">
        <v>5</v>
      </c>
      <c r="B17" s="34">
        <v>14.3</v>
      </c>
      <c r="C17" s="34">
        <f t="shared" si="5"/>
        <v>0.66000000000000014</v>
      </c>
      <c r="D17" s="34">
        <v>15.67</v>
      </c>
      <c r="E17" s="34">
        <f t="shared" si="6"/>
        <v>31.6</v>
      </c>
      <c r="F17" s="34">
        <f t="shared" si="7"/>
        <v>20.856000000000005</v>
      </c>
      <c r="G17" s="34">
        <f t="shared" si="8"/>
        <v>365.19170000000003</v>
      </c>
      <c r="H17" s="34">
        <f t="shared" si="1"/>
        <v>224.08100000000002</v>
      </c>
      <c r="I17" s="34">
        <f t="shared" si="9"/>
        <v>441.36620000000005</v>
      </c>
      <c r="J17" s="34">
        <f t="shared" si="2"/>
        <v>291.30169200000012</v>
      </c>
      <c r="K17" s="59">
        <f t="shared" si="10"/>
        <v>2968.4030199999997</v>
      </c>
      <c r="N17" s="19">
        <v>14.3</v>
      </c>
      <c r="O17" s="34">
        <v>365.19170000000003</v>
      </c>
      <c r="P17" s="34">
        <f t="shared" si="0"/>
        <v>158.88888888888889</v>
      </c>
      <c r="Q17" s="34">
        <f t="shared" si="3"/>
        <v>43.260342678980116</v>
      </c>
      <c r="R17" s="59" t="str">
        <f t="shared" si="4"/>
        <v>43.2603426789801,158.888888888889</v>
      </c>
    </row>
    <row r="19" spans="1:21" x14ac:dyDescent="0.25">
      <c r="O19" s="4" t="s">
        <v>155</v>
      </c>
      <c r="Q19" s="4" t="s">
        <v>156</v>
      </c>
      <c r="T19" s="4" t="s">
        <v>159</v>
      </c>
    </row>
    <row r="20" spans="1:21" x14ac:dyDescent="0.25">
      <c r="N20" s="4">
        <v>18</v>
      </c>
      <c r="O20" s="4">
        <v>200</v>
      </c>
      <c r="Q20" s="4">
        <v>422.08600000000001</v>
      </c>
      <c r="R20" s="4">
        <v>50</v>
      </c>
      <c r="T20" s="4">
        <v>2876.7204000000002</v>
      </c>
      <c r="U20" s="4">
        <v>50</v>
      </c>
    </row>
    <row r="21" spans="1:21" x14ac:dyDescent="0.25">
      <c r="O21" s="4">
        <v>11.111111111111111</v>
      </c>
      <c r="R21" s="4">
        <v>0.11845927133333017</v>
      </c>
      <c r="U21" s="4">
        <v>1.7380903615102809E-2</v>
      </c>
    </row>
    <row r="22" spans="1:21" ht="15.75" thickBot="1" x14ac:dyDescent="0.3"/>
    <row r="23" spans="1:21" ht="15.75" thickBot="1" x14ac:dyDescent="0.3">
      <c r="N23" s="5" t="s">
        <v>4</v>
      </c>
      <c r="O23" s="5" t="s">
        <v>153</v>
      </c>
      <c r="P23" s="5" t="s">
        <v>155</v>
      </c>
      <c r="Q23" s="5" t="s">
        <v>159</v>
      </c>
      <c r="R23" s="5" t="s">
        <v>157</v>
      </c>
    </row>
    <row r="24" spans="1:21" x14ac:dyDescent="0.25">
      <c r="N24" s="42">
        <v>0</v>
      </c>
      <c r="O24" s="51">
        <v>0</v>
      </c>
      <c r="P24" s="51">
        <f>N24*$O$21</f>
        <v>0</v>
      </c>
      <c r="Q24" s="51">
        <f>O24*$U$21</f>
        <v>0</v>
      </c>
      <c r="R24" s="43" t="str">
        <f>CONCATENATE(Q24,",",P24)</f>
        <v>0,0</v>
      </c>
    </row>
    <row r="25" spans="1:21" x14ac:dyDescent="0.25">
      <c r="N25" s="17">
        <v>1</v>
      </c>
      <c r="O25" s="10">
        <v>7.2473999999999998</v>
      </c>
      <c r="P25" s="10">
        <f t="shared" ref="P25:P39" si="11">N25*$O$21</f>
        <v>11.111111111111111</v>
      </c>
      <c r="Q25" s="10">
        <f t="shared" ref="Q25:Q39" si="12">O25*$U$21</f>
        <v>0.1259663608600961</v>
      </c>
      <c r="R25" s="58" t="str">
        <f t="shared" ref="R25:R39" si="13">CONCATENATE(Q25,",",P25)</f>
        <v>0.125966360860096,11.1111111111111</v>
      </c>
    </row>
    <row r="26" spans="1:21" x14ac:dyDescent="0.25">
      <c r="N26" s="17">
        <v>2</v>
      </c>
      <c r="O26" s="10">
        <v>32.412799999999997</v>
      </c>
      <c r="P26" s="10">
        <f t="shared" si="11"/>
        <v>22.222222222222221</v>
      </c>
      <c r="Q26" s="10">
        <f t="shared" si="12"/>
        <v>0.56336375269560424</v>
      </c>
      <c r="R26" s="58" t="str">
        <f t="shared" si="13"/>
        <v>0.563363752695604,22.2222222222222</v>
      </c>
    </row>
    <row r="27" spans="1:21" x14ac:dyDescent="0.25">
      <c r="N27" s="17">
        <v>3</v>
      </c>
      <c r="O27" s="10">
        <v>81.044799999999995</v>
      </c>
      <c r="P27" s="10">
        <f t="shared" si="11"/>
        <v>33.333333333333329</v>
      </c>
      <c r="Q27" s="10">
        <f t="shared" si="12"/>
        <v>1.4086318573052841</v>
      </c>
      <c r="R27" s="58" t="str">
        <f t="shared" si="13"/>
        <v>1.40863185730528,33.3333333333333</v>
      </c>
    </row>
    <row r="28" spans="1:21" x14ac:dyDescent="0.25">
      <c r="N28" s="17">
        <v>4</v>
      </c>
      <c r="O28" s="10">
        <v>156.95080000000002</v>
      </c>
      <c r="P28" s="10">
        <f t="shared" si="11"/>
        <v>44.444444444444443</v>
      </c>
      <c r="Q28" s="10">
        <f t="shared" si="12"/>
        <v>2.7279467271132782</v>
      </c>
      <c r="R28" s="58" t="str">
        <f t="shared" si="13"/>
        <v>2.72794672711328,44.4444444444444</v>
      </c>
    </row>
    <row r="29" spans="1:21" x14ac:dyDescent="0.25">
      <c r="N29" s="17">
        <v>5</v>
      </c>
      <c r="O29" s="10">
        <v>263.21780000000001</v>
      </c>
      <c r="P29" s="10">
        <f t="shared" si="11"/>
        <v>55.555555555555557</v>
      </c>
      <c r="Q29" s="10">
        <f t="shared" si="12"/>
        <v>4.5749632115794086</v>
      </c>
      <c r="R29" s="58" t="str">
        <f t="shared" si="13"/>
        <v>4.57496321157941,55.5555555555556</v>
      </c>
    </row>
    <row r="30" spans="1:21" x14ac:dyDescent="0.25">
      <c r="N30" s="17">
        <v>6</v>
      </c>
      <c r="O30" s="10">
        <v>402.3528</v>
      </c>
      <c r="P30" s="10">
        <f t="shared" si="11"/>
        <v>66.666666666666657</v>
      </c>
      <c r="Q30" s="10">
        <f t="shared" si="12"/>
        <v>6.9932552360667373</v>
      </c>
      <c r="R30" s="58" t="str">
        <f t="shared" si="13"/>
        <v>6.99325523606674,66.6666666666667</v>
      </c>
    </row>
    <row r="31" spans="1:21" x14ac:dyDescent="0.25">
      <c r="N31" s="17">
        <v>7</v>
      </c>
      <c r="O31" s="10">
        <v>576.29179999999997</v>
      </c>
      <c r="P31" s="10">
        <f t="shared" si="11"/>
        <v>77.777777777777771</v>
      </c>
      <c r="Q31" s="10">
        <f t="shared" si="12"/>
        <v>10.016472229974104</v>
      </c>
      <c r="R31" s="58" t="str">
        <f t="shared" si="13"/>
        <v>10.0164722299741,77.7777777777778</v>
      </c>
    </row>
    <row r="32" spans="1:21" x14ac:dyDescent="0.25">
      <c r="N32" s="17">
        <v>8</v>
      </c>
      <c r="O32" s="10">
        <v>786.49879999999996</v>
      </c>
      <c r="P32" s="10">
        <f t="shared" si="11"/>
        <v>88.888888888888886</v>
      </c>
      <c r="Q32" s="10">
        <f t="shared" si="12"/>
        <v>13.670059836194021</v>
      </c>
      <c r="R32" s="58" t="str">
        <f t="shared" si="13"/>
        <v>13.670059836194,88.8888888888889</v>
      </c>
    </row>
    <row r="33" spans="14:18" x14ac:dyDescent="0.25">
      <c r="N33" s="17">
        <v>9</v>
      </c>
      <c r="O33" s="10">
        <v>1034.0717999999999</v>
      </c>
      <c r="P33" s="10">
        <f t="shared" si="11"/>
        <v>100</v>
      </c>
      <c r="Q33" s="10">
        <f t="shared" si="12"/>
        <v>17.973102286895866</v>
      </c>
      <c r="R33" s="58" t="str">
        <f t="shared" si="13"/>
        <v>17.9731022868959,100</v>
      </c>
    </row>
    <row r="34" spans="14:18" x14ac:dyDescent="0.25">
      <c r="N34" s="17">
        <v>10</v>
      </c>
      <c r="O34" s="10">
        <v>1319.8267999999998</v>
      </c>
      <c r="P34" s="10">
        <f t="shared" si="11"/>
        <v>111.11111111111111</v>
      </c>
      <c r="Q34" s="10">
        <f t="shared" si="12"/>
        <v>22.939782399429568</v>
      </c>
      <c r="R34" s="58" t="str">
        <f t="shared" si="13"/>
        <v>22.9397823994296,111.111111111111</v>
      </c>
    </row>
    <row r="35" spans="14:18" x14ac:dyDescent="0.25">
      <c r="N35" s="17">
        <v>11</v>
      </c>
      <c r="O35" s="10">
        <v>1644.0797999999998</v>
      </c>
      <c r="P35" s="10">
        <f t="shared" si="11"/>
        <v>122.22222222222221</v>
      </c>
      <c r="Q35" s="10">
        <f t="shared" si="12"/>
        <v>28.575592539337499</v>
      </c>
      <c r="R35" s="58" t="str">
        <f t="shared" si="13"/>
        <v>28.5755925393375,122.222222222222</v>
      </c>
    </row>
    <row r="36" spans="14:18" x14ac:dyDescent="0.25">
      <c r="N36" s="17">
        <v>12</v>
      </c>
      <c r="O36" s="10">
        <v>2006.3707999999997</v>
      </c>
      <c r="P36" s="10">
        <f t="shared" si="11"/>
        <v>133.33333333333331</v>
      </c>
      <c r="Q36" s="10">
        <f t="shared" si="12"/>
        <v>34.872537490956709</v>
      </c>
      <c r="R36" s="58" t="str">
        <f t="shared" si="13"/>
        <v>34.8725374909567,133.333333333333</v>
      </c>
    </row>
    <row r="37" spans="14:18" x14ac:dyDescent="0.25">
      <c r="N37" s="17">
        <v>13</v>
      </c>
      <c r="O37" s="10">
        <v>2404.9187999999995</v>
      </c>
      <c r="P37" s="10">
        <f t="shared" si="11"/>
        <v>144.44444444444443</v>
      </c>
      <c r="Q37" s="10">
        <f t="shared" si="12"/>
        <v>41.799661864948696</v>
      </c>
      <c r="R37" s="58" t="str">
        <f t="shared" si="13"/>
        <v>41.7996618649487,144.444444444444</v>
      </c>
    </row>
    <row r="38" spans="14:18" x14ac:dyDescent="0.25">
      <c r="N38" s="17">
        <v>13.64</v>
      </c>
      <c r="O38" s="10">
        <v>2677.1013279999997</v>
      </c>
      <c r="P38" s="10">
        <f t="shared" si="11"/>
        <v>151.55555555555554</v>
      </c>
      <c r="Q38" s="10">
        <f t="shared" si="12"/>
        <v>46.530440149831726</v>
      </c>
      <c r="R38" s="58" t="str">
        <f t="shared" si="13"/>
        <v>46.5304401498317,151.555555555556</v>
      </c>
    </row>
    <row r="39" spans="14:18" ht="15.75" thickBot="1" x14ac:dyDescent="0.3">
      <c r="N39" s="19">
        <v>14.3</v>
      </c>
      <c r="O39" s="34">
        <v>2968.4030199999997</v>
      </c>
      <c r="P39" s="34">
        <f t="shared" si="11"/>
        <v>158.88888888888889</v>
      </c>
      <c r="Q39" s="34">
        <f t="shared" si="12"/>
        <v>51.593526781400087</v>
      </c>
      <c r="R39" s="59" t="str">
        <f t="shared" si="13"/>
        <v>51.5935267814001,158.888888888889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A2F4-8ABF-405D-9D63-BEFEE83500DF}">
  <dimension ref="A1:U41"/>
  <sheetViews>
    <sheetView zoomScale="85" zoomScaleNormal="85" workbookViewId="0">
      <selection activeCell="U40" sqref="U40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0.42578125" style="4" customWidth="1"/>
    <col min="16" max="16" width="13.42578125" style="4" customWidth="1"/>
    <col min="17" max="17" width="16.5703125" style="4" customWidth="1"/>
    <col min="18" max="18" width="35.425781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5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1.57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>N2*$O$22</f>
        <v>0</v>
      </c>
      <c r="Q2" s="51">
        <f>O2*$R$22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4.6612999999999998</v>
      </c>
      <c r="E3" s="10">
        <f>D3+D2</f>
        <v>6.2313000000000001</v>
      </c>
      <c r="F3" s="10">
        <f>C3*E3</f>
        <v>6.2313000000000001</v>
      </c>
      <c r="G3" s="10">
        <f>G2+F3</f>
        <v>6.2313000000000001</v>
      </c>
      <c r="H3" s="10">
        <f t="shared" ref="H3:H18" si="0">B3*D3</f>
        <v>4.6612999999999998</v>
      </c>
      <c r="I3" s="10">
        <f>H3+H2</f>
        <v>4.6612999999999998</v>
      </c>
      <c r="J3" s="10">
        <f t="shared" ref="J3:J18" si="1">C3*I3</f>
        <v>4.6612999999999998</v>
      </c>
      <c r="K3" s="58">
        <f>K2+J3</f>
        <v>4.6612999999999998</v>
      </c>
      <c r="N3" s="17">
        <v>1</v>
      </c>
      <c r="O3" s="10">
        <v>6.2313000000000001</v>
      </c>
      <c r="P3" s="10">
        <f t="shared" ref="P3:P18" si="2">N3*$O$22</f>
        <v>11.111111111111111</v>
      </c>
      <c r="Q3" s="10">
        <f t="shared" ref="Q3:Q18" si="3">O3*$R$22</f>
        <v>0.73815525745938027</v>
      </c>
      <c r="R3" s="58" t="str">
        <f t="shared" ref="R3:R18" si="4">CONCATENATE(Q3,",",P3)</f>
        <v>0.73815525745938,11.1111111111111</v>
      </c>
    </row>
    <row r="4" spans="1:18" x14ac:dyDescent="0.25">
      <c r="A4" s="17">
        <v>2</v>
      </c>
      <c r="B4" s="10">
        <v>2</v>
      </c>
      <c r="C4" s="10">
        <f t="shared" ref="C4:C18" si="5">B4-B3</f>
        <v>1</v>
      </c>
      <c r="D4" s="11">
        <v>5.9278000000000004</v>
      </c>
      <c r="E4" s="10">
        <f t="shared" ref="E4:E18" si="6">D4+D3</f>
        <v>10.5891</v>
      </c>
      <c r="F4" s="10">
        <f t="shared" ref="F4:F18" si="7">C4*E4</f>
        <v>10.5891</v>
      </c>
      <c r="G4" s="10">
        <f t="shared" ref="G4:G18" si="8">G3+F4</f>
        <v>16.820399999999999</v>
      </c>
      <c r="H4" s="10">
        <f t="shared" si="0"/>
        <v>11.855600000000001</v>
      </c>
      <c r="I4" s="10">
        <f t="shared" ref="I4:I18" si="9">H4+H3</f>
        <v>16.5169</v>
      </c>
      <c r="J4" s="10">
        <f t="shared" si="1"/>
        <v>16.5169</v>
      </c>
      <c r="K4" s="58">
        <f t="shared" ref="K4:K18" si="10">K3+J4</f>
        <v>21.1782</v>
      </c>
      <c r="N4" s="17">
        <v>2</v>
      </c>
      <c r="O4" s="10">
        <v>16.820399999999999</v>
      </c>
      <c r="P4" s="10">
        <f t="shared" si="2"/>
        <v>22.222222222222221</v>
      </c>
      <c r="Q4" s="10">
        <f t="shared" si="3"/>
        <v>1.9925323275351468</v>
      </c>
      <c r="R4" s="58" t="str">
        <f t="shared" si="4"/>
        <v>1.99253232753515,22.2222222222222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6.9</v>
      </c>
      <c r="E5" s="10">
        <f t="shared" si="6"/>
        <v>12.8278</v>
      </c>
      <c r="F5" s="10">
        <f t="shared" si="7"/>
        <v>12.8278</v>
      </c>
      <c r="G5" s="10">
        <f t="shared" si="8"/>
        <v>29.648199999999999</v>
      </c>
      <c r="H5" s="10">
        <f t="shared" si="0"/>
        <v>20.700000000000003</v>
      </c>
      <c r="I5" s="10">
        <f t="shared" si="9"/>
        <v>32.555600000000005</v>
      </c>
      <c r="J5" s="10">
        <f t="shared" si="1"/>
        <v>32.555600000000005</v>
      </c>
      <c r="K5" s="58">
        <f t="shared" si="10"/>
        <v>53.733800000000002</v>
      </c>
      <c r="N5" s="17">
        <v>3</v>
      </c>
      <c r="O5" s="10">
        <v>29.648199999999999</v>
      </c>
      <c r="P5" s="10">
        <f t="shared" si="2"/>
        <v>33.333333333333329</v>
      </c>
      <c r="Q5" s="10">
        <f t="shared" si="3"/>
        <v>3.5121041683448397</v>
      </c>
      <c r="R5" s="58" t="str">
        <f t="shared" si="4"/>
        <v>3.51210416834484,33.3333333333333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7.8221999999999996</v>
      </c>
      <c r="E6" s="10">
        <f t="shared" si="6"/>
        <v>14.722200000000001</v>
      </c>
      <c r="F6" s="10">
        <f t="shared" si="7"/>
        <v>14.722200000000001</v>
      </c>
      <c r="G6" s="10">
        <f t="shared" si="8"/>
        <v>44.370400000000004</v>
      </c>
      <c r="H6" s="10">
        <f t="shared" si="0"/>
        <v>31.288799999999998</v>
      </c>
      <c r="I6" s="10">
        <f t="shared" si="9"/>
        <v>51.988799999999998</v>
      </c>
      <c r="J6" s="10">
        <f t="shared" si="1"/>
        <v>51.988799999999998</v>
      </c>
      <c r="K6" s="58">
        <f t="shared" si="10"/>
        <v>105.7226</v>
      </c>
      <c r="N6" s="17">
        <v>4</v>
      </c>
      <c r="O6" s="10">
        <v>44.370400000000004</v>
      </c>
      <c r="P6" s="10">
        <f t="shared" si="2"/>
        <v>44.444444444444443</v>
      </c>
      <c r="Q6" s="10">
        <f t="shared" si="3"/>
        <v>5.2560852527683934</v>
      </c>
      <c r="R6" s="58" t="str">
        <f t="shared" si="4"/>
        <v>5.25608525276839,44.4444444444444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8.7407000000000004</v>
      </c>
      <c r="E7" s="10">
        <f t="shared" si="6"/>
        <v>16.562899999999999</v>
      </c>
      <c r="F7" s="10">
        <f t="shared" si="7"/>
        <v>16.562899999999999</v>
      </c>
      <c r="G7" s="10">
        <f t="shared" si="8"/>
        <v>60.933300000000003</v>
      </c>
      <c r="H7" s="10">
        <f t="shared" si="0"/>
        <v>43.703500000000005</v>
      </c>
      <c r="I7" s="10">
        <f t="shared" si="9"/>
        <v>74.9923</v>
      </c>
      <c r="J7" s="10">
        <f t="shared" si="1"/>
        <v>74.9923</v>
      </c>
      <c r="K7" s="58">
        <f t="shared" si="10"/>
        <v>180.7149</v>
      </c>
      <c r="N7" s="17">
        <v>5</v>
      </c>
      <c r="O7" s="10">
        <v>60.933300000000003</v>
      </c>
      <c r="P7" s="10">
        <f t="shared" si="2"/>
        <v>55.555555555555557</v>
      </c>
      <c r="Q7" s="10">
        <f t="shared" si="3"/>
        <v>7.2181143179352079</v>
      </c>
      <c r="R7" s="58" t="str">
        <f t="shared" si="4"/>
        <v>7.21811431793521,55.5555555555556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9.6417000000000002</v>
      </c>
      <c r="E8" s="10">
        <f t="shared" si="6"/>
        <v>18.382400000000001</v>
      </c>
      <c r="F8" s="10">
        <f t="shared" si="7"/>
        <v>18.382400000000001</v>
      </c>
      <c r="G8" s="10">
        <f t="shared" si="8"/>
        <v>79.315700000000007</v>
      </c>
      <c r="H8" s="10">
        <f t="shared" si="0"/>
        <v>57.850200000000001</v>
      </c>
      <c r="I8" s="10">
        <f t="shared" si="9"/>
        <v>101.55370000000001</v>
      </c>
      <c r="J8" s="10">
        <f t="shared" si="1"/>
        <v>101.55370000000001</v>
      </c>
      <c r="K8" s="58">
        <f t="shared" si="10"/>
        <v>282.26859999999999</v>
      </c>
      <c r="N8" s="17">
        <v>6</v>
      </c>
      <c r="O8" s="10">
        <v>79.315700000000007</v>
      </c>
      <c r="P8" s="10">
        <f t="shared" si="2"/>
        <v>66.666666666666657</v>
      </c>
      <c r="Q8" s="10">
        <f t="shared" si="3"/>
        <v>9.3956800272930163</v>
      </c>
      <c r="R8" s="58" t="str">
        <f t="shared" si="4"/>
        <v>9.39568002729302,66.6666666666667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10.532999999999999</v>
      </c>
      <c r="E9" s="10">
        <f t="shared" si="6"/>
        <v>20.174700000000001</v>
      </c>
      <c r="F9" s="10">
        <f t="shared" si="7"/>
        <v>20.174700000000001</v>
      </c>
      <c r="G9" s="10">
        <f t="shared" si="8"/>
        <v>99.490400000000008</v>
      </c>
      <c r="H9" s="10">
        <f t="shared" si="0"/>
        <v>73.730999999999995</v>
      </c>
      <c r="I9" s="10">
        <f t="shared" si="9"/>
        <v>131.5812</v>
      </c>
      <c r="J9" s="10">
        <f t="shared" si="1"/>
        <v>131.5812</v>
      </c>
      <c r="K9" s="58">
        <f t="shared" si="10"/>
        <v>413.84979999999996</v>
      </c>
      <c r="N9" s="17">
        <v>7</v>
      </c>
      <c r="O9" s="10">
        <v>99.490400000000008</v>
      </c>
      <c r="P9" s="10">
        <f t="shared" si="2"/>
        <v>77.777777777777771</v>
      </c>
      <c r="Q9" s="10">
        <f t="shared" si="3"/>
        <v>11.785560288661554</v>
      </c>
      <c r="R9" s="58" t="str">
        <f t="shared" si="4"/>
        <v>11.7855602886616,77.7777777777778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11.416</v>
      </c>
      <c r="E10" s="10">
        <f t="shared" si="6"/>
        <v>21.948999999999998</v>
      </c>
      <c r="F10" s="10">
        <f t="shared" si="7"/>
        <v>21.948999999999998</v>
      </c>
      <c r="G10" s="10">
        <f t="shared" si="8"/>
        <v>121.43940000000001</v>
      </c>
      <c r="H10" s="10">
        <f t="shared" si="0"/>
        <v>91.328000000000003</v>
      </c>
      <c r="I10" s="10">
        <f t="shared" si="9"/>
        <v>165.059</v>
      </c>
      <c r="J10" s="10">
        <f t="shared" si="1"/>
        <v>165.059</v>
      </c>
      <c r="K10" s="58">
        <f t="shared" si="10"/>
        <v>578.90879999999993</v>
      </c>
      <c r="N10" s="17">
        <v>8</v>
      </c>
      <c r="O10" s="10">
        <v>121.43940000000001</v>
      </c>
      <c r="P10" s="10">
        <f t="shared" si="2"/>
        <v>88.888888888888886</v>
      </c>
      <c r="Q10" s="10">
        <f t="shared" si="3"/>
        <v>14.385622835156816</v>
      </c>
      <c r="R10" s="58" t="str">
        <f t="shared" si="4"/>
        <v>14.3856228351568,88.8888888888889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12.294</v>
      </c>
      <c r="E11" s="10">
        <f t="shared" si="6"/>
        <v>23.71</v>
      </c>
      <c r="F11" s="10">
        <f t="shared" si="7"/>
        <v>23.71</v>
      </c>
      <c r="G11" s="10">
        <f t="shared" si="8"/>
        <v>145.14940000000001</v>
      </c>
      <c r="H11" s="10">
        <f t="shared" si="0"/>
        <v>110.646</v>
      </c>
      <c r="I11" s="10">
        <f t="shared" si="9"/>
        <v>201.97399999999999</v>
      </c>
      <c r="J11" s="10">
        <f t="shared" si="1"/>
        <v>201.97399999999999</v>
      </c>
      <c r="K11" s="58">
        <f t="shared" si="10"/>
        <v>780.88279999999986</v>
      </c>
      <c r="N11" s="17">
        <v>9</v>
      </c>
      <c r="O11" s="10">
        <v>145.14940000000001</v>
      </c>
      <c r="P11" s="10">
        <f t="shared" si="2"/>
        <v>100</v>
      </c>
      <c r="Q11" s="10">
        <f t="shared" si="3"/>
        <v>17.194292158470077</v>
      </c>
      <c r="R11" s="58" t="str">
        <f t="shared" si="4"/>
        <v>17.1942921584701,100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13.159000000000001</v>
      </c>
      <c r="E12" s="10">
        <f t="shared" si="6"/>
        <v>25.453000000000003</v>
      </c>
      <c r="F12" s="10">
        <f t="shared" si="7"/>
        <v>25.453000000000003</v>
      </c>
      <c r="G12" s="10">
        <f t="shared" si="8"/>
        <v>170.60240000000002</v>
      </c>
      <c r="H12" s="10">
        <f t="shared" si="0"/>
        <v>131.59</v>
      </c>
      <c r="I12" s="10">
        <f t="shared" si="9"/>
        <v>242.23599999999999</v>
      </c>
      <c r="J12" s="10">
        <f t="shared" si="1"/>
        <v>242.23599999999999</v>
      </c>
      <c r="K12" s="58">
        <f t="shared" si="10"/>
        <v>1023.1187999999999</v>
      </c>
      <c r="N12" s="17">
        <v>10</v>
      </c>
      <c r="O12" s="10">
        <v>170.60240000000002</v>
      </c>
      <c r="P12" s="10">
        <f t="shared" si="2"/>
        <v>111.11111111111111</v>
      </c>
      <c r="Q12" s="10">
        <f t="shared" si="3"/>
        <v>20.209435991717331</v>
      </c>
      <c r="R12" s="58" t="str">
        <f t="shared" si="4"/>
        <v>20.2094359917173,111.111111111111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14.004</v>
      </c>
      <c r="E13" s="10">
        <f t="shared" si="6"/>
        <v>27.163</v>
      </c>
      <c r="F13" s="10">
        <f t="shared" si="7"/>
        <v>27.163</v>
      </c>
      <c r="G13" s="10">
        <f t="shared" si="8"/>
        <v>197.76540000000003</v>
      </c>
      <c r="H13" s="10">
        <f t="shared" si="0"/>
        <v>154.04399999999998</v>
      </c>
      <c r="I13" s="10">
        <f t="shared" si="9"/>
        <v>285.63400000000001</v>
      </c>
      <c r="J13" s="10">
        <f t="shared" si="1"/>
        <v>285.63400000000001</v>
      </c>
      <c r="K13" s="58">
        <f t="shared" si="10"/>
        <v>1308.7527999999998</v>
      </c>
      <c r="N13" s="17">
        <v>11</v>
      </c>
      <c r="O13" s="10">
        <v>197.76540000000003</v>
      </c>
      <c r="P13" s="10">
        <f t="shared" si="2"/>
        <v>122.22222222222221</v>
      </c>
      <c r="Q13" s="10">
        <f t="shared" si="3"/>
        <v>23.427145178944578</v>
      </c>
      <c r="R13" s="58" t="str">
        <f t="shared" si="4"/>
        <v>23.4271451789446,122.222222222222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14.791</v>
      </c>
      <c r="E14" s="10">
        <f t="shared" si="6"/>
        <v>28.795000000000002</v>
      </c>
      <c r="F14" s="10">
        <f t="shared" si="7"/>
        <v>28.795000000000002</v>
      </c>
      <c r="G14" s="10">
        <f t="shared" si="8"/>
        <v>226.56040000000002</v>
      </c>
      <c r="H14" s="10">
        <f t="shared" si="0"/>
        <v>177.49200000000002</v>
      </c>
      <c r="I14" s="10">
        <f t="shared" si="9"/>
        <v>331.536</v>
      </c>
      <c r="J14" s="10">
        <f t="shared" si="1"/>
        <v>331.536</v>
      </c>
      <c r="K14" s="58">
        <f t="shared" si="10"/>
        <v>1640.2887999999998</v>
      </c>
      <c r="N14" s="17">
        <v>12</v>
      </c>
      <c r="O14" s="10">
        <v>226.56040000000002</v>
      </c>
      <c r="P14" s="10">
        <f t="shared" si="2"/>
        <v>133.33333333333331</v>
      </c>
      <c r="Q14" s="10">
        <f t="shared" si="3"/>
        <v>26.838179896987821</v>
      </c>
      <c r="R14" s="58" t="str">
        <f t="shared" si="4"/>
        <v>26.8381798969878,133.333333333333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15.477</v>
      </c>
      <c r="E15" s="10">
        <f t="shared" si="6"/>
        <v>30.268000000000001</v>
      </c>
      <c r="F15" s="10">
        <f t="shared" si="7"/>
        <v>30.268000000000001</v>
      </c>
      <c r="G15" s="10">
        <f t="shared" si="8"/>
        <v>256.82839999999999</v>
      </c>
      <c r="H15" s="10">
        <f t="shared" si="0"/>
        <v>201.20099999999999</v>
      </c>
      <c r="I15" s="10">
        <f t="shared" si="9"/>
        <v>378.69299999999998</v>
      </c>
      <c r="J15" s="10">
        <f t="shared" si="1"/>
        <v>378.69299999999998</v>
      </c>
      <c r="K15" s="58">
        <f t="shared" si="10"/>
        <v>2018.9817999999998</v>
      </c>
      <c r="N15" s="17">
        <v>13</v>
      </c>
      <c r="O15" s="10">
        <v>256.82839999999999</v>
      </c>
      <c r="P15" s="10">
        <f t="shared" si="2"/>
        <v>144.44444444444443</v>
      </c>
      <c r="Q15" s="10">
        <f t="shared" si="3"/>
        <v>30.423705121705055</v>
      </c>
      <c r="R15" s="58" t="str">
        <f t="shared" si="4"/>
        <v>30.4237051217051,144.444444444444</v>
      </c>
    </row>
    <row r="16" spans="1:18" x14ac:dyDescent="0.25">
      <c r="A16" s="17">
        <v>14</v>
      </c>
      <c r="B16" s="10">
        <v>14</v>
      </c>
      <c r="C16" s="10">
        <f t="shared" si="5"/>
        <v>1</v>
      </c>
      <c r="D16" s="11">
        <v>15.933</v>
      </c>
      <c r="E16" s="10">
        <f t="shared" si="6"/>
        <v>31.41</v>
      </c>
      <c r="F16" s="10">
        <f t="shared" si="7"/>
        <v>31.41</v>
      </c>
      <c r="G16" s="10">
        <f t="shared" si="8"/>
        <v>288.23840000000001</v>
      </c>
      <c r="H16" s="10">
        <f t="shared" si="0"/>
        <v>223.06200000000001</v>
      </c>
      <c r="I16" s="10">
        <f t="shared" si="9"/>
        <v>424.26300000000003</v>
      </c>
      <c r="J16" s="10">
        <f t="shared" si="1"/>
        <v>424.26300000000003</v>
      </c>
      <c r="K16" s="58">
        <f t="shared" si="10"/>
        <v>2443.2447999999999</v>
      </c>
      <c r="N16" s="17">
        <v>14</v>
      </c>
      <c r="O16" s="10">
        <v>288.23840000000001</v>
      </c>
      <c r="P16" s="10">
        <f t="shared" si="2"/>
        <v>155.55555555555554</v>
      </c>
      <c r="Q16" s="10">
        <f t="shared" si="3"/>
        <v>34.144510834284958</v>
      </c>
      <c r="R16" s="58" t="str">
        <f t="shared" si="4"/>
        <v>34.144510834285,155.555555555556</v>
      </c>
    </row>
    <row r="17" spans="1:21" x14ac:dyDescent="0.25">
      <c r="A17" s="17" t="s">
        <v>154</v>
      </c>
      <c r="B17" s="10">
        <v>14.03</v>
      </c>
      <c r="C17" s="10">
        <f t="shared" si="5"/>
        <v>2.9999999999999361E-2</v>
      </c>
      <c r="D17" s="10">
        <v>15.94</v>
      </c>
      <c r="E17" s="10">
        <f t="shared" si="6"/>
        <v>31.872999999999998</v>
      </c>
      <c r="F17" s="10">
        <f t="shared" si="7"/>
        <v>0.95618999999997956</v>
      </c>
      <c r="G17" s="10">
        <f t="shared" si="8"/>
        <v>289.19459000000001</v>
      </c>
      <c r="H17" s="10">
        <f t="shared" si="0"/>
        <v>223.63819999999998</v>
      </c>
      <c r="I17" s="10">
        <f t="shared" si="9"/>
        <v>446.7002</v>
      </c>
      <c r="J17" s="10">
        <f t="shared" si="1"/>
        <v>13.401005999999715</v>
      </c>
      <c r="K17" s="58">
        <f t="shared" si="10"/>
        <v>2456.6458059999995</v>
      </c>
      <c r="N17" s="17">
        <v>14.03</v>
      </c>
      <c r="O17" s="10">
        <v>289.19459000000001</v>
      </c>
      <c r="P17" s="10">
        <f t="shared" si="2"/>
        <v>155.88888888888889</v>
      </c>
      <c r="Q17" s="10">
        <f t="shared" si="3"/>
        <v>34.257780404941172</v>
      </c>
      <c r="R17" s="58" t="str">
        <f t="shared" si="4"/>
        <v>34.2577804049412,155.888888888889</v>
      </c>
    </row>
    <row r="18" spans="1:21" ht="15.75" thickBot="1" x14ac:dyDescent="0.3">
      <c r="A18" s="19" t="s">
        <v>5</v>
      </c>
      <c r="B18" s="34">
        <v>14.7</v>
      </c>
      <c r="C18" s="34">
        <f t="shared" si="5"/>
        <v>0.66999999999999993</v>
      </c>
      <c r="D18" s="34">
        <v>16</v>
      </c>
      <c r="E18" s="34">
        <f t="shared" si="6"/>
        <v>31.939999999999998</v>
      </c>
      <c r="F18" s="34">
        <f t="shared" si="7"/>
        <v>21.399799999999995</v>
      </c>
      <c r="G18" s="34">
        <f t="shared" si="8"/>
        <v>310.59438999999998</v>
      </c>
      <c r="H18" s="34">
        <f t="shared" si="0"/>
        <v>235.2</v>
      </c>
      <c r="I18" s="34">
        <f t="shared" si="9"/>
        <v>458.83819999999997</v>
      </c>
      <c r="J18" s="34">
        <f t="shared" si="1"/>
        <v>307.42159399999997</v>
      </c>
      <c r="K18" s="59">
        <f t="shared" si="10"/>
        <v>2764.0673999999995</v>
      </c>
      <c r="N18" s="19">
        <v>14.7</v>
      </c>
      <c r="O18" s="34">
        <v>310.59438999999998</v>
      </c>
      <c r="P18" s="34">
        <f t="shared" si="2"/>
        <v>163.33333333333331</v>
      </c>
      <c r="Q18" s="34">
        <f t="shared" si="3"/>
        <v>36.79278511962017</v>
      </c>
      <c r="R18" s="59" t="str">
        <f t="shared" si="4"/>
        <v>36.7927851196202,163.333333333333</v>
      </c>
    </row>
    <row r="20" spans="1:21" x14ac:dyDescent="0.25">
      <c r="O20" s="4" t="s">
        <v>155</v>
      </c>
      <c r="Q20" s="4" t="s">
        <v>156</v>
      </c>
      <c r="T20" s="4" t="s">
        <v>159</v>
      </c>
    </row>
    <row r="21" spans="1:21" x14ac:dyDescent="0.25">
      <c r="N21" s="4">
        <v>18</v>
      </c>
      <c r="O21" s="4">
        <v>200</v>
      </c>
      <c r="Q21" s="4">
        <v>422.08600000000001</v>
      </c>
      <c r="R21" s="4">
        <v>50</v>
      </c>
      <c r="T21" s="4">
        <v>2876.7204000000002</v>
      </c>
      <c r="U21" s="4">
        <v>50</v>
      </c>
    </row>
    <row r="22" spans="1:21" x14ac:dyDescent="0.25">
      <c r="O22" s="4">
        <v>11.111111111111111</v>
      </c>
      <c r="R22" s="4">
        <v>0.11845927133333017</v>
      </c>
      <c r="U22" s="4">
        <v>1.7380903615102809E-2</v>
      </c>
    </row>
    <row r="23" spans="1:21" ht="15.75" thickBot="1" x14ac:dyDescent="0.3"/>
    <row r="24" spans="1:21" ht="15.75" thickBot="1" x14ac:dyDescent="0.3">
      <c r="N24" s="5" t="s">
        <v>4</v>
      </c>
      <c r="O24" s="5" t="s">
        <v>153</v>
      </c>
      <c r="P24" s="5" t="s">
        <v>155</v>
      </c>
      <c r="Q24" s="5" t="s">
        <v>159</v>
      </c>
      <c r="R24" s="5" t="s">
        <v>157</v>
      </c>
    </row>
    <row r="25" spans="1:21" x14ac:dyDescent="0.25">
      <c r="N25" s="42">
        <v>0</v>
      </c>
      <c r="O25" s="51">
        <v>0</v>
      </c>
      <c r="P25" s="51">
        <f>N25*$O$22</f>
        <v>0</v>
      </c>
      <c r="Q25" s="51">
        <f>O25*$U$22</f>
        <v>0</v>
      </c>
      <c r="R25" s="43" t="str">
        <f>CONCATENATE(Q25,",",P25)</f>
        <v>0,0</v>
      </c>
    </row>
    <row r="26" spans="1:21" x14ac:dyDescent="0.25">
      <c r="N26" s="17">
        <v>1</v>
      </c>
      <c r="O26" s="10">
        <v>4.6612999999999998</v>
      </c>
      <c r="P26" s="10">
        <f t="shared" ref="P26:P41" si="11">N26*$O$22</f>
        <v>11.111111111111111</v>
      </c>
      <c r="Q26" s="10">
        <f t="shared" ref="Q26:Q41" si="12">O26*$U$22</f>
        <v>8.1017606021078714E-2</v>
      </c>
      <c r="R26" s="58" t="str">
        <f t="shared" ref="R26:R41" si="13">CONCATENATE(Q26,",",P26)</f>
        <v>0.0810176060210787,11.1111111111111</v>
      </c>
    </row>
    <row r="27" spans="1:21" x14ac:dyDescent="0.25">
      <c r="N27" s="17">
        <v>2</v>
      </c>
      <c r="O27" s="10">
        <v>21.1782</v>
      </c>
      <c r="P27" s="10">
        <f t="shared" si="11"/>
        <v>22.222222222222221</v>
      </c>
      <c r="Q27" s="10">
        <f t="shared" si="12"/>
        <v>0.36809625294137033</v>
      </c>
      <c r="R27" s="58" t="str">
        <f t="shared" si="13"/>
        <v>0.36809625294137,22.2222222222222</v>
      </c>
    </row>
    <row r="28" spans="1:21" x14ac:dyDescent="0.25">
      <c r="N28" s="17">
        <v>3</v>
      </c>
      <c r="O28" s="10">
        <v>53.733800000000002</v>
      </c>
      <c r="P28" s="10">
        <f t="shared" si="11"/>
        <v>33.333333333333329</v>
      </c>
      <c r="Q28" s="10">
        <f t="shared" si="12"/>
        <v>0.93394199867321137</v>
      </c>
      <c r="R28" s="58" t="str">
        <f t="shared" si="13"/>
        <v>0.933941998673211,33.3333333333333</v>
      </c>
    </row>
    <row r="29" spans="1:21" x14ac:dyDescent="0.25">
      <c r="N29" s="17">
        <v>4</v>
      </c>
      <c r="O29" s="10">
        <v>105.7226</v>
      </c>
      <c r="P29" s="10">
        <f t="shared" si="11"/>
        <v>44.444444444444443</v>
      </c>
      <c r="Q29" s="10">
        <f t="shared" si="12"/>
        <v>1.8375543205380682</v>
      </c>
      <c r="R29" s="58" t="str">
        <f t="shared" si="13"/>
        <v>1.83755432053807,44.4444444444444</v>
      </c>
    </row>
    <row r="30" spans="1:21" x14ac:dyDescent="0.25">
      <c r="N30" s="17">
        <v>5</v>
      </c>
      <c r="O30" s="10">
        <v>180.7149</v>
      </c>
      <c r="P30" s="10">
        <f t="shared" si="11"/>
        <v>55.555555555555557</v>
      </c>
      <c r="Q30" s="10">
        <f t="shared" si="12"/>
        <v>3.1409882587129427</v>
      </c>
      <c r="R30" s="58" t="str">
        <f t="shared" si="13"/>
        <v>3.14098825871294,55.5555555555556</v>
      </c>
    </row>
    <row r="31" spans="1:21" x14ac:dyDescent="0.25">
      <c r="N31" s="17">
        <v>6</v>
      </c>
      <c r="O31" s="10">
        <v>282.26859999999999</v>
      </c>
      <c r="P31" s="10">
        <f t="shared" si="11"/>
        <v>66.666666666666657</v>
      </c>
      <c r="Q31" s="10">
        <f t="shared" si="12"/>
        <v>4.9060833301700084</v>
      </c>
      <c r="R31" s="58" t="str">
        <f t="shared" si="13"/>
        <v>4.90608333017001,66.6666666666667</v>
      </c>
    </row>
    <row r="32" spans="1:21" x14ac:dyDescent="0.25">
      <c r="N32" s="17">
        <v>7</v>
      </c>
      <c r="O32" s="10">
        <v>413.84979999999996</v>
      </c>
      <c r="P32" s="10">
        <f t="shared" si="11"/>
        <v>77.777777777777771</v>
      </c>
      <c r="Q32" s="10">
        <f t="shared" si="12"/>
        <v>7.1930834849295735</v>
      </c>
      <c r="R32" s="58" t="str">
        <f t="shared" si="13"/>
        <v>7.19308348492957,77.7777777777778</v>
      </c>
    </row>
    <row r="33" spans="14:18" x14ac:dyDescent="0.25">
      <c r="N33" s="17">
        <v>8</v>
      </c>
      <c r="O33" s="10">
        <v>578.90879999999993</v>
      </c>
      <c r="P33" s="10">
        <f t="shared" si="11"/>
        <v>88.888888888888886</v>
      </c>
      <c r="Q33" s="10">
        <f t="shared" si="12"/>
        <v>10.061958054734827</v>
      </c>
      <c r="R33" s="58" t="str">
        <f t="shared" si="13"/>
        <v>10.0619580547348,88.8888888888889</v>
      </c>
    </row>
    <row r="34" spans="14:18" x14ac:dyDescent="0.25">
      <c r="N34" s="17">
        <v>9</v>
      </c>
      <c r="O34" s="10">
        <v>780.88279999999986</v>
      </c>
      <c r="P34" s="10">
        <f t="shared" si="11"/>
        <v>100</v>
      </c>
      <c r="Q34" s="10">
        <f t="shared" si="12"/>
        <v>13.572448681491601</v>
      </c>
      <c r="R34" s="58" t="str">
        <f t="shared" si="13"/>
        <v>13.5724486814916,100</v>
      </c>
    </row>
    <row r="35" spans="14:18" x14ac:dyDescent="0.25">
      <c r="N35" s="17">
        <v>10</v>
      </c>
      <c r="O35" s="10">
        <v>1023.1187999999999</v>
      </c>
      <c r="P35" s="10">
        <f t="shared" si="11"/>
        <v>111.11111111111111</v>
      </c>
      <c r="Q35" s="10">
        <f t="shared" si="12"/>
        <v>17.782729249599644</v>
      </c>
      <c r="R35" s="58" t="str">
        <f t="shared" si="13"/>
        <v>17.7827292495996,111.111111111111</v>
      </c>
    </row>
    <row r="36" spans="14:18" x14ac:dyDescent="0.25">
      <c r="N36" s="17">
        <v>11</v>
      </c>
      <c r="O36" s="10">
        <v>1308.7527999999998</v>
      </c>
      <c r="P36" s="10">
        <f t="shared" si="11"/>
        <v>122.22222222222221</v>
      </c>
      <c r="Q36" s="10">
        <f t="shared" si="12"/>
        <v>22.747306272795917</v>
      </c>
      <c r="R36" s="58" t="str">
        <f t="shared" si="13"/>
        <v>22.7473062727959,122.222222222222</v>
      </c>
    </row>
    <row r="37" spans="14:18" x14ac:dyDescent="0.25">
      <c r="N37" s="17">
        <v>12</v>
      </c>
      <c r="O37" s="10">
        <v>1640.2887999999998</v>
      </c>
      <c r="P37" s="10">
        <f t="shared" si="11"/>
        <v>133.33333333333331</v>
      </c>
      <c r="Q37" s="10">
        <f t="shared" si="12"/>
        <v>28.509701533732645</v>
      </c>
      <c r="R37" s="58" t="str">
        <f t="shared" si="13"/>
        <v>28.5097015337326,133.333333333333</v>
      </c>
    </row>
    <row r="38" spans="14:18" x14ac:dyDescent="0.25">
      <c r="N38" s="17">
        <v>13</v>
      </c>
      <c r="O38" s="10">
        <v>2018.9817999999998</v>
      </c>
      <c r="P38" s="10">
        <f t="shared" si="11"/>
        <v>144.44444444444443</v>
      </c>
      <c r="Q38" s="10">
        <f t="shared" si="12"/>
        <v>35.09172806644677</v>
      </c>
      <c r="R38" s="58" t="str">
        <f t="shared" si="13"/>
        <v>35.0917280664468,144.444444444444</v>
      </c>
    </row>
    <row r="39" spans="14:18" x14ac:dyDescent="0.25">
      <c r="N39" s="17">
        <v>14</v>
      </c>
      <c r="O39" s="10">
        <v>2443.2447999999999</v>
      </c>
      <c r="P39" s="10">
        <f t="shared" si="11"/>
        <v>155.55555555555554</v>
      </c>
      <c r="Q39" s="10">
        <f t="shared" si="12"/>
        <v>42.465802376901138</v>
      </c>
      <c r="R39" s="58" t="str">
        <f t="shared" si="13"/>
        <v>42.4658023769011,155.555555555556</v>
      </c>
    </row>
    <row r="40" spans="14:18" x14ac:dyDescent="0.25">
      <c r="N40" s="17">
        <v>14.03</v>
      </c>
      <c r="O40" s="10">
        <v>2456.6458059999995</v>
      </c>
      <c r="P40" s="10">
        <f t="shared" si="11"/>
        <v>155.88888888888889</v>
      </c>
      <c r="Q40" s="10">
        <f t="shared" si="12"/>
        <v>42.698723970532548</v>
      </c>
      <c r="R40" s="58" t="str">
        <f t="shared" si="13"/>
        <v>42.6987239705325,155.888888888889</v>
      </c>
    </row>
    <row r="41" spans="14:18" ht="15.75" thickBot="1" x14ac:dyDescent="0.3">
      <c r="N41" s="66">
        <v>14.7</v>
      </c>
      <c r="O41" s="56">
        <v>2764.0673999999995</v>
      </c>
      <c r="P41" s="56">
        <f t="shared" si="11"/>
        <v>163.33333333333331</v>
      </c>
      <c r="Q41" s="56">
        <f t="shared" si="12"/>
        <v>48.041989065047808</v>
      </c>
      <c r="R41" s="57" t="str">
        <f t="shared" si="13"/>
        <v>48.0419890650478,163.333333333333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6242-88B1-4046-904C-F8903F7749A2}">
  <dimension ref="A1:U41"/>
  <sheetViews>
    <sheetView zoomScale="85" zoomScaleNormal="85" workbookViewId="0">
      <selection activeCell="U39" sqref="U39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2.5703125" style="4" customWidth="1"/>
    <col min="16" max="16" width="15.42578125" style="4" customWidth="1"/>
    <col min="17" max="17" width="14" style="4" customWidth="1"/>
    <col min="18" max="18" width="3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5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0.66722999999999999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>N2*$O$22</f>
        <v>0</v>
      </c>
      <c r="Q2" s="51">
        <f>O2*$R$22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2.9155000000000002</v>
      </c>
      <c r="E3" s="10">
        <f>D3+D2</f>
        <v>3.5827300000000002</v>
      </c>
      <c r="F3" s="10">
        <f>C3*E3</f>
        <v>3.5827300000000002</v>
      </c>
      <c r="G3" s="10">
        <f>G2+F3</f>
        <v>3.5827300000000002</v>
      </c>
      <c r="H3" s="10">
        <f t="shared" ref="H3:H18" si="0">B3*D3</f>
        <v>2.9155000000000002</v>
      </c>
      <c r="I3" s="10">
        <f>H3+H2</f>
        <v>2.9155000000000002</v>
      </c>
      <c r="J3" s="10">
        <f t="shared" ref="J3:J18" si="1">C3*I3</f>
        <v>2.9155000000000002</v>
      </c>
      <c r="K3" s="58">
        <f>K2+J3</f>
        <v>2.9155000000000002</v>
      </c>
      <c r="N3" s="17">
        <v>1</v>
      </c>
      <c r="O3" s="10">
        <v>3.5827300000000002</v>
      </c>
      <c r="P3" s="10">
        <f t="shared" ref="P3:P18" si="2">N3*$O$22</f>
        <v>11.111111111111111</v>
      </c>
      <c r="Q3" s="10">
        <f t="shared" ref="Q3:Q18" si="3">O3*$R$22</f>
        <v>0.42440758518406202</v>
      </c>
      <c r="R3" s="58" t="str">
        <f t="shared" ref="R3:R18" si="4">CONCATENATE(Q3,",",P3)</f>
        <v>0.424407585184062,11.1111111111111</v>
      </c>
    </row>
    <row r="4" spans="1:18" x14ac:dyDescent="0.25">
      <c r="A4" s="17">
        <v>2</v>
      </c>
      <c r="B4" s="10">
        <v>2</v>
      </c>
      <c r="C4" s="10">
        <f t="shared" ref="C4:C18" si="5">B4-B3</f>
        <v>1</v>
      </c>
      <c r="D4" s="11">
        <v>3.7917000000000001</v>
      </c>
      <c r="E4" s="10">
        <f t="shared" ref="E4:E18" si="6">D4+D3</f>
        <v>6.7072000000000003</v>
      </c>
      <c r="F4" s="10">
        <f t="shared" ref="F4:F18" si="7">C4*E4</f>
        <v>6.7072000000000003</v>
      </c>
      <c r="G4" s="10">
        <f t="shared" ref="G4:G18" si="8">G3+F4</f>
        <v>10.28993</v>
      </c>
      <c r="H4" s="10">
        <f t="shared" si="0"/>
        <v>7.5834000000000001</v>
      </c>
      <c r="I4" s="10">
        <f t="shared" ref="I4:I18" si="9">H4+H3</f>
        <v>10.498900000000001</v>
      </c>
      <c r="J4" s="10">
        <f t="shared" si="1"/>
        <v>10.498900000000001</v>
      </c>
      <c r="K4" s="58">
        <f t="shared" ref="K4:K18" si="10">K3+J4</f>
        <v>13.414400000000001</v>
      </c>
      <c r="N4" s="17">
        <v>2</v>
      </c>
      <c r="O4" s="10">
        <v>10.28993</v>
      </c>
      <c r="P4" s="10">
        <f t="shared" si="2"/>
        <v>22.222222222222221</v>
      </c>
      <c r="Q4" s="10">
        <f t="shared" si="3"/>
        <v>1.2189376098709741</v>
      </c>
      <c r="R4" s="58" t="str">
        <f t="shared" si="4"/>
        <v>1.21893760987097,22.2222222222222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4.4107000000000003</v>
      </c>
      <c r="E5" s="10">
        <f t="shared" si="6"/>
        <v>8.2024000000000008</v>
      </c>
      <c r="F5" s="10">
        <f t="shared" si="7"/>
        <v>8.2024000000000008</v>
      </c>
      <c r="G5" s="10">
        <f t="shared" si="8"/>
        <v>18.492330000000003</v>
      </c>
      <c r="H5" s="10">
        <f t="shared" si="0"/>
        <v>13.232100000000001</v>
      </c>
      <c r="I5" s="10">
        <f t="shared" si="9"/>
        <v>20.8155</v>
      </c>
      <c r="J5" s="10">
        <f t="shared" si="1"/>
        <v>20.8155</v>
      </c>
      <c r="K5" s="58">
        <f t="shared" si="10"/>
        <v>34.229900000000001</v>
      </c>
      <c r="N5" s="17">
        <v>3</v>
      </c>
      <c r="O5" s="10">
        <v>18.492330000000003</v>
      </c>
      <c r="P5" s="10">
        <f t="shared" si="2"/>
        <v>33.333333333333329</v>
      </c>
      <c r="Q5" s="10">
        <f t="shared" si="3"/>
        <v>2.1905879370554819</v>
      </c>
      <c r="R5" s="58" t="str">
        <f t="shared" si="4"/>
        <v>2.19058793705548,33.3333333333333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4.9452999999999996</v>
      </c>
      <c r="E6" s="10">
        <f t="shared" si="6"/>
        <v>9.3559999999999999</v>
      </c>
      <c r="F6" s="10">
        <f t="shared" si="7"/>
        <v>9.3559999999999999</v>
      </c>
      <c r="G6" s="10">
        <f t="shared" si="8"/>
        <v>27.848330000000004</v>
      </c>
      <c r="H6" s="10">
        <f t="shared" si="0"/>
        <v>19.781199999999998</v>
      </c>
      <c r="I6" s="10">
        <f t="shared" si="9"/>
        <v>33.013300000000001</v>
      </c>
      <c r="J6" s="10">
        <f t="shared" si="1"/>
        <v>33.013300000000001</v>
      </c>
      <c r="K6" s="58">
        <f t="shared" si="10"/>
        <v>67.243200000000002</v>
      </c>
      <c r="N6" s="17">
        <v>4</v>
      </c>
      <c r="O6" s="10">
        <v>27.848330000000004</v>
      </c>
      <c r="P6" s="10">
        <f t="shared" si="2"/>
        <v>44.444444444444443</v>
      </c>
      <c r="Q6" s="10">
        <f t="shared" si="3"/>
        <v>3.2988928796501193</v>
      </c>
      <c r="R6" s="58" t="str">
        <f t="shared" si="4"/>
        <v>3.29889287965012,44.4444444444444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5.4794999999999998</v>
      </c>
      <c r="E7" s="10">
        <f t="shared" si="6"/>
        <v>10.424799999999999</v>
      </c>
      <c r="F7" s="10">
        <f t="shared" si="7"/>
        <v>10.424799999999999</v>
      </c>
      <c r="G7" s="10">
        <f t="shared" si="8"/>
        <v>38.273130000000002</v>
      </c>
      <c r="H7" s="10">
        <f t="shared" si="0"/>
        <v>27.397500000000001</v>
      </c>
      <c r="I7" s="10">
        <f t="shared" si="9"/>
        <v>47.178699999999999</v>
      </c>
      <c r="J7" s="10">
        <f t="shared" si="1"/>
        <v>47.178699999999999</v>
      </c>
      <c r="K7" s="58">
        <f t="shared" si="10"/>
        <v>114.42189999999999</v>
      </c>
      <c r="N7" s="17">
        <v>5</v>
      </c>
      <c r="O7" s="10">
        <v>38.273130000000002</v>
      </c>
      <c r="P7" s="10">
        <f t="shared" si="2"/>
        <v>55.555555555555557</v>
      </c>
      <c r="Q7" s="10">
        <f t="shared" si="3"/>
        <v>4.5338070914458193</v>
      </c>
      <c r="R7" s="58" t="str">
        <f t="shared" si="4"/>
        <v>4.53380709144582,55.5555555555556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6.0598999999999998</v>
      </c>
      <c r="E8" s="10">
        <f t="shared" si="6"/>
        <v>11.539400000000001</v>
      </c>
      <c r="F8" s="10">
        <f t="shared" si="7"/>
        <v>11.539400000000001</v>
      </c>
      <c r="G8" s="10">
        <f t="shared" si="8"/>
        <v>49.812530000000002</v>
      </c>
      <c r="H8" s="10">
        <f t="shared" si="0"/>
        <v>36.359400000000001</v>
      </c>
      <c r="I8" s="10">
        <f t="shared" si="9"/>
        <v>63.756900000000002</v>
      </c>
      <c r="J8" s="10">
        <f t="shared" si="1"/>
        <v>63.756900000000002</v>
      </c>
      <c r="K8" s="58">
        <f t="shared" si="10"/>
        <v>178.1788</v>
      </c>
      <c r="N8" s="17">
        <v>6</v>
      </c>
      <c r="O8" s="10">
        <v>49.812530000000002</v>
      </c>
      <c r="P8" s="10">
        <f t="shared" si="2"/>
        <v>66.666666666666657</v>
      </c>
      <c r="Q8" s="10">
        <f t="shared" si="3"/>
        <v>5.9007560070696492</v>
      </c>
      <c r="R8" s="58" t="str">
        <f t="shared" si="4"/>
        <v>5.90075600706965,66.6666666666667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6.7229000000000001</v>
      </c>
      <c r="E9" s="10">
        <f t="shared" si="6"/>
        <v>12.7828</v>
      </c>
      <c r="F9" s="10">
        <f t="shared" si="7"/>
        <v>12.7828</v>
      </c>
      <c r="G9" s="10">
        <f t="shared" si="8"/>
        <v>62.595330000000004</v>
      </c>
      <c r="H9" s="10">
        <f t="shared" si="0"/>
        <v>47.060299999999998</v>
      </c>
      <c r="I9" s="10">
        <f t="shared" si="9"/>
        <v>83.419700000000006</v>
      </c>
      <c r="J9" s="10">
        <f t="shared" si="1"/>
        <v>83.419700000000006</v>
      </c>
      <c r="K9" s="58">
        <f t="shared" si="10"/>
        <v>261.5985</v>
      </c>
      <c r="N9" s="17">
        <v>7</v>
      </c>
      <c r="O9" s="10">
        <v>62.595330000000004</v>
      </c>
      <c r="P9" s="10">
        <f t="shared" si="2"/>
        <v>77.777777777777771</v>
      </c>
      <c r="Q9" s="10">
        <f t="shared" si="3"/>
        <v>7.4149971806693431</v>
      </c>
      <c r="R9" s="58" t="str">
        <f t="shared" si="4"/>
        <v>7.41499718066934,77.7777777777778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7.4941000000000004</v>
      </c>
      <c r="E10" s="10">
        <f t="shared" si="6"/>
        <v>14.217000000000001</v>
      </c>
      <c r="F10" s="10">
        <f t="shared" si="7"/>
        <v>14.217000000000001</v>
      </c>
      <c r="G10" s="10">
        <f t="shared" si="8"/>
        <v>76.812330000000003</v>
      </c>
      <c r="H10" s="10">
        <f t="shared" si="0"/>
        <v>59.952800000000003</v>
      </c>
      <c r="I10" s="10">
        <f t="shared" si="9"/>
        <v>107.01310000000001</v>
      </c>
      <c r="J10" s="10">
        <f t="shared" si="1"/>
        <v>107.01310000000001</v>
      </c>
      <c r="K10" s="58">
        <f t="shared" si="10"/>
        <v>368.61160000000001</v>
      </c>
      <c r="N10" s="17">
        <v>8</v>
      </c>
      <c r="O10" s="10">
        <v>76.812330000000003</v>
      </c>
      <c r="P10" s="10">
        <f t="shared" si="2"/>
        <v>88.888888888888886</v>
      </c>
      <c r="Q10" s="10">
        <f t="shared" si="3"/>
        <v>9.0991326412152969</v>
      </c>
      <c r="R10" s="58" t="str">
        <f t="shared" si="4"/>
        <v>9.0991326412153,88.8888888888889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8.4077999999999999</v>
      </c>
      <c r="E11" s="10">
        <f t="shared" si="6"/>
        <v>15.901900000000001</v>
      </c>
      <c r="F11" s="10">
        <f t="shared" si="7"/>
        <v>15.901900000000001</v>
      </c>
      <c r="G11" s="10">
        <f t="shared" si="8"/>
        <v>92.714230000000001</v>
      </c>
      <c r="H11" s="10">
        <f t="shared" si="0"/>
        <v>75.670199999999994</v>
      </c>
      <c r="I11" s="10">
        <f t="shared" si="9"/>
        <v>135.62299999999999</v>
      </c>
      <c r="J11" s="10">
        <f t="shared" si="1"/>
        <v>135.62299999999999</v>
      </c>
      <c r="K11" s="58">
        <f t="shared" si="10"/>
        <v>504.2346</v>
      </c>
      <c r="N11" s="17">
        <v>9</v>
      </c>
      <c r="O11" s="10">
        <v>92.714230000000001</v>
      </c>
      <c r="P11" s="10">
        <f t="shared" si="2"/>
        <v>100</v>
      </c>
      <c r="Q11" s="10">
        <f t="shared" si="3"/>
        <v>10.982860128030781</v>
      </c>
      <c r="R11" s="58" t="str">
        <f t="shared" si="4"/>
        <v>10.9828601280308,100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9.5215999999999994</v>
      </c>
      <c r="E12" s="10">
        <f t="shared" si="6"/>
        <v>17.929400000000001</v>
      </c>
      <c r="F12" s="10">
        <f t="shared" si="7"/>
        <v>17.929400000000001</v>
      </c>
      <c r="G12" s="10">
        <f t="shared" si="8"/>
        <v>110.64363</v>
      </c>
      <c r="H12" s="10">
        <f t="shared" si="0"/>
        <v>95.215999999999994</v>
      </c>
      <c r="I12" s="10">
        <f t="shared" si="9"/>
        <v>170.88619999999997</v>
      </c>
      <c r="J12" s="10">
        <f t="shared" si="1"/>
        <v>170.88619999999997</v>
      </c>
      <c r="K12" s="58">
        <f t="shared" si="10"/>
        <v>675.12079999999992</v>
      </c>
      <c r="N12" s="17">
        <v>10</v>
      </c>
      <c r="O12" s="10">
        <v>110.64363</v>
      </c>
      <c r="P12" s="10">
        <f t="shared" si="2"/>
        <v>111.11111111111111</v>
      </c>
      <c r="Q12" s="10">
        <f t="shared" si="3"/>
        <v>13.106763787474591</v>
      </c>
      <c r="R12" s="58" t="str">
        <f t="shared" si="4"/>
        <v>13.1067637874746,111.111111111111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10.832000000000001</v>
      </c>
      <c r="E13" s="10">
        <f t="shared" si="6"/>
        <v>20.3536</v>
      </c>
      <c r="F13" s="10">
        <f t="shared" si="7"/>
        <v>20.3536</v>
      </c>
      <c r="G13" s="10">
        <f t="shared" si="8"/>
        <v>130.99723</v>
      </c>
      <c r="H13" s="10">
        <f t="shared" si="0"/>
        <v>119.15200000000002</v>
      </c>
      <c r="I13" s="10">
        <f t="shared" si="9"/>
        <v>214.36799999999999</v>
      </c>
      <c r="J13" s="10">
        <f t="shared" si="1"/>
        <v>214.36799999999999</v>
      </c>
      <c r="K13" s="58">
        <f t="shared" si="10"/>
        <v>889.48879999999986</v>
      </c>
      <c r="N13" s="17">
        <v>11</v>
      </c>
      <c r="O13" s="10">
        <v>130.99723</v>
      </c>
      <c r="P13" s="10">
        <f t="shared" si="2"/>
        <v>122.22222222222221</v>
      </c>
      <c r="Q13" s="10">
        <f t="shared" si="3"/>
        <v>15.517836412484659</v>
      </c>
      <c r="R13" s="58" t="str">
        <f t="shared" si="4"/>
        <v>15.5178364124847,122.222222222222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12.234</v>
      </c>
      <c r="E14" s="10">
        <f t="shared" si="6"/>
        <v>23.066000000000003</v>
      </c>
      <c r="F14" s="10">
        <f t="shared" si="7"/>
        <v>23.066000000000003</v>
      </c>
      <c r="G14" s="10">
        <f t="shared" si="8"/>
        <v>154.06323</v>
      </c>
      <c r="H14" s="10">
        <f t="shared" si="0"/>
        <v>146.80799999999999</v>
      </c>
      <c r="I14" s="10">
        <f t="shared" si="9"/>
        <v>265.96000000000004</v>
      </c>
      <c r="J14" s="10">
        <f t="shared" si="1"/>
        <v>265.96000000000004</v>
      </c>
      <c r="K14" s="58">
        <f t="shared" si="10"/>
        <v>1155.4487999999999</v>
      </c>
      <c r="N14" s="17">
        <v>12</v>
      </c>
      <c r="O14" s="10">
        <v>154.06323</v>
      </c>
      <c r="P14" s="10">
        <f t="shared" si="2"/>
        <v>133.33333333333331</v>
      </c>
      <c r="Q14" s="10">
        <f t="shared" si="3"/>
        <v>18.250217965059253</v>
      </c>
      <c r="R14" s="58" t="str">
        <f t="shared" si="4"/>
        <v>18.2502179650593,133.333333333333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13.574999999999999</v>
      </c>
      <c r="E15" s="10">
        <f t="shared" si="6"/>
        <v>25.808999999999997</v>
      </c>
      <c r="F15" s="10">
        <f t="shared" si="7"/>
        <v>25.808999999999997</v>
      </c>
      <c r="G15" s="10">
        <f t="shared" si="8"/>
        <v>179.87223</v>
      </c>
      <c r="H15" s="10">
        <f t="shared" si="0"/>
        <v>176.47499999999999</v>
      </c>
      <c r="I15" s="10">
        <f t="shared" si="9"/>
        <v>323.28300000000002</v>
      </c>
      <c r="J15" s="10">
        <f t="shared" si="1"/>
        <v>323.28300000000002</v>
      </c>
      <c r="K15" s="58">
        <f t="shared" si="10"/>
        <v>1478.7318</v>
      </c>
      <c r="N15" s="17">
        <v>13</v>
      </c>
      <c r="O15" s="10">
        <v>179.87223</v>
      </c>
      <c r="P15" s="10">
        <f t="shared" si="2"/>
        <v>144.44444444444443</v>
      </c>
      <c r="Q15" s="10">
        <f t="shared" si="3"/>
        <v>21.307533298901173</v>
      </c>
      <c r="R15" s="58" t="str">
        <f t="shared" si="4"/>
        <v>21.3075332989012,144.444444444444</v>
      </c>
    </row>
    <row r="16" spans="1:18" x14ac:dyDescent="0.25">
      <c r="A16" s="17">
        <v>14</v>
      </c>
      <c r="B16" s="10">
        <v>14</v>
      </c>
      <c r="C16" s="10">
        <f t="shared" si="5"/>
        <v>1</v>
      </c>
      <c r="D16" s="11">
        <v>14.768000000000001</v>
      </c>
      <c r="E16" s="10">
        <f t="shared" si="6"/>
        <v>28.343</v>
      </c>
      <c r="F16" s="10">
        <f t="shared" si="7"/>
        <v>28.343</v>
      </c>
      <c r="G16" s="10">
        <f t="shared" si="8"/>
        <v>208.21522999999999</v>
      </c>
      <c r="H16" s="10">
        <f t="shared" si="0"/>
        <v>206.75200000000001</v>
      </c>
      <c r="I16" s="10">
        <f t="shared" si="9"/>
        <v>383.22699999999998</v>
      </c>
      <c r="J16" s="10">
        <f t="shared" si="1"/>
        <v>383.22699999999998</v>
      </c>
      <c r="K16" s="58">
        <f t="shared" si="10"/>
        <v>1861.9587999999999</v>
      </c>
      <c r="N16" s="17">
        <v>14</v>
      </c>
      <c r="O16" s="10">
        <v>208.21522999999999</v>
      </c>
      <c r="P16" s="10">
        <f t="shared" si="2"/>
        <v>155.55555555555554</v>
      </c>
      <c r="Q16" s="10">
        <f t="shared" si="3"/>
        <v>24.665024426301748</v>
      </c>
      <c r="R16" s="58" t="str">
        <f t="shared" si="4"/>
        <v>24.6650244263017,155.555555555556</v>
      </c>
    </row>
    <row r="17" spans="1:21" x14ac:dyDescent="0.25">
      <c r="A17" s="17" t="s">
        <v>154</v>
      </c>
      <c r="B17" s="10">
        <v>14.52</v>
      </c>
      <c r="C17" s="10">
        <f t="shared" si="5"/>
        <v>0.51999999999999957</v>
      </c>
      <c r="D17" s="10">
        <v>15.21</v>
      </c>
      <c r="E17" s="10">
        <f t="shared" si="6"/>
        <v>29.978000000000002</v>
      </c>
      <c r="F17" s="10">
        <f t="shared" si="7"/>
        <v>15.588559999999989</v>
      </c>
      <c r="G17" s="10">
        <f t="shared" si="8"/>
        <v>223.80378999999999</v>
      </c>
      <c r="H17" s="10">
        <f t="shared" si="0"/>
        <v>220.8492</v>
      </c>
      <c r="I17" s="10">
        <f t="shared" si="9"/>
        <v>427.60120000000001</v>
      </c>
      <c r="J17" s="10">
        <f t="shared" si="1"/>
        <v>222.35262399999982</v>
      </c>
      <c r="K17" s="58">
        <f t="shared" si="10"/>
        <v>2084.3114239999995</v>
      </c>
      <c r="N17" s="17">
        <v>14.52</v>
      </c>
      <c r="O17" s="10">
        <v>223.80378999999999</v>
      </c>
      <c r="P17" s="10">
        <f t="shared" si="2"/>
        <v>161.33333333333331</v>
      </c>
      <c r="Q17" s="10">
        <f t="shared" si="3"/>
        <v>26.511633885037647</v>
      </c>
      <c r="R17" s="58" t="str">
        <f t="shared" si="4"/>
        <v>26.5116338850376,161.333333333333</v>
      </c>
    </row>
    <row r="18" spans="1:21" ht="15.75" thickBot="1" x14ac:dyDescent="0.3">
      <c r="A18" s="19" t="s">
        <v>5</v>
      </c>
      <c r="B18" s="34">
        <v>15.16</v>
      </c>
      <c r="C18" s="34">
        <f t="shared" si="5"/>
        <v>0.64000000000000057</v>
      </c>
      <c r="D18" s="34">
        <v>15.37</v>
      </c>
      <c r="E18" s="34">
        <f t="shared" si="6"/>
        <v>30.58</v>
      </c>
      <c r="F18" s="34">
        <f t="shared" si="7"/>
        <v>19.571200000000015</v>
      </c>
      <c r="G18" s="34">
        <f t="shared" si="8"/>
        <v>243.37499</v>
      </c>
      <c r="H18" s="34">
        <f t="shared" si="0"/>
        <v>233.00919999999999</v>
      </c>
      <c r="I18" s="34">
        <f t="shared" si="9"/>
        <v>453.85839999999996</v>
      </c>
      <c r="J18" s="34">
        <f t="shared" si="1"/>
        <v>290.46937600000024</v>
      </c>
      <c r="K18" s="59">
        <f t="shared" si="10"/>
        <v>2374.7807999999995</v>
      </c>
      <c r="N18" s="19">
        <v>15.16</v>
      </c>
      <c r="O18" s="34">
        <v>243.37499</v>
      </c>
      <c r="P18" s="34">
        <f t="shared" si="2"/>
        <v>168.44444444444443</v>
      </c>
      <c r="Q18" s="34">
        <f t="shared" si="3"/>
        <v>28.830023976156518</v>
      </c>
      <c r="R18" s="59" t="str">
        <f t="shared" si="4"/>
        <v>28.8300239761565,168.444444444444</v>
      </c>
    </row>
    <row r="20" spans="1:21" x14ac:dyDescent="0.25">
      <c r="O20" s="4" t="s">
        <v>155</v>
      </c>
      <c r="Q20" s="4" t="s">
        <v>156</v>
      </c>
      <c r="T20" s="4" t="s">
        <v>159</v>
      </c>
    </row>
    <row r="21" spans="1:21" x14ac:dyDescent="0.25">
      <c r="N21" s="4">
        <v>18</v>
      </c>
      <c r="O21" s="4">
        <v>200</v>
      </c>
      <c r="Q21" s="4">
        <v>422.08600000000001</v>
      </c>
      <c r="R21" s="4">
        <v>50</v>
      </c>
      <c r="T21" s="4">
        <v>2876.7204000000002</v>
      </c>
      <c r="U21" s="4">
        <v>50</v>
      </c>
    </row>
    <row r="22" spans="1:21" x14ac:dyDescent="0.25">
      <c r="O22" s="4">
        <v>11.111111111111111</v>
      </c>
      <c r="R22" s="4">
        <v>0.11845927133333017</v>
      </c>
      <c r="U22" s="4">
        <v>1.7380903615102809E-2</v>
      </c>
    </row>
    <row r="23" spans="1:21" ht="15.75" thickBot="1" x14ac:dyDescent="0.3"/>
    <row r="24" spans="1:21" ht="15.75" thickBot="1" x14ac:dyDescent="0.3">
      <c r="N24" s="5" t="s">
        <v>4</v>
      </c>
      <c r="O24" s="5" t="s">
        <v>153</v>
      </c>
      <c r="P24" s="5" t="s">
        <v>155</v>
      </c>
      <c r="Q24" s="5" t="s">
        <v>159</v>
      </c>
      <c r="R24" s="5" t="s">
        <v>157</v>
      </c>
    </row>
    <row r="25" spans="1:21" x14ac:dyDescent="0.25">
      <c r="N25" s="42">
        <v>0</v>
      </c>
      <c r="O25" s="51">
        <v>0</v>
      </c>
      <c r="P25" s="51">
        <f>N25*$O$22</f>
        <v>0</v>
      </c>
      <c r="Q25" s="51">
        <f>O25*$U$22</f>
        <v>0</v>
      </c>
      <c r="R25" s="43" t="str">
        <f>CONCATENATE(Q25,",",P25)</f>
        <v>0,0</v>
      </c>
    </row>
    <row r="26" spans="1:21" x14ac:dyDescent="0.25">
      <c r="N26" s="17">
        <v>1</v>
      </c>
      <c r="O26" s="10">
        <v>2.9155000000000002</v>
      </c>
      <c r="P26" s="10">
        <f t="shared" ref="P26:P41" si="11">N26*$O$22</f>
        <v>11.111111111111111</v>
      </c>
      <c r="Q26" s="10">
        <f t="shared" ref="Q26:Q41" si="12">O26*$U$22</f>
        <v>5.0674024489832242E-2</v>
      </c>
      <c r="R26" s="58" t="str">
        <f t="shared" ref="R26:R41" si="13">CONCATENATE(Q26,",",P26)</f>
        <v>0.0506740244898322,11.1111111111111</v>
      </c>
    </row>
    <row r="27" spans="1:21" x14ac:dyDescent="0.25">
      <c r="N27" s="17">
        <v>2</v>
      </c>
      <c r="O27" s="10">
        <v>13.414400000000001</v>
      </c>
      <c r="P27" s="10">
        <f t="shared" si="11"/>
        <v>22.222222222222221</v>
      </c>
      <c r="Q27" s="10">
        <f t="shared" si="12"/>
        <v>0.23315439345443512</v>
      </c>
      <c r="R27" s="58" t="str">
        <f t="shared" si="13"/>
        <v>0.233154393454435,22.2222222222222</v>
      </c>
    </row>
    <row r="28" spans="1:21" x14ac:dyDescent="0.25">
      <c r="N28" s="17">
        <v>3</v>
      </c>
      <c r="O28" s="10">
        <v>34.229900000000001</v>
      </c>
      <c r="P28" s="10">
        <f t="shared" si="11"/>
        <v>33.333333333333329</v>
      </c>
      <c r="Q28" s="10">
        <f t="shared" si="12"/>
        <v>0.59494659265460759</v>
      </c>
      <c r="R28" s="58" t="str">
        <f t="shared" si="13"/>
        <v>0.594946592654608,33.3333333333333</v>
      </c>
    </row>
    <row r="29" spans="1:21" x14ac:dyDescent="0.25">
      <c r="N29" s="17">
        <v>4</v>
      </c>
      <c r="O29" s="10">
        <v>67.243200000000002</v>
      </c>
      <c r="P29" s="10">
        <f t="shared" si="11"/>
        <v>44.444444444444443</v>
      </c>
      <c r="Q29" s="10">
        <f t="shared" si="12"/>
        <v>1.1687475779710812</v>
      </c>
      <c r="R29" s="58" t="str">
        <f t="shared" si="13"/>
        <v>1.16874757797108,44.4444444444444</v>
      </c>
    </row>
    <row r="30" spans="1:21" x14ac:dyDescent="0.25">
      <c r="N30" s="17">
        <v>5</v>
      </c>
      <c r="O30" s="10">
        <v>114.42189999999999</v>
      </c>
      <c r="P30" s="10">
        <f t="shared" si="11"/>
        <v>55.555555555555557</v>
      </c>
      <c r="Q30" s="10">
        <f t="shared" si="12"/>
        <v>1.9887560153569319</v>
      </c>
      <c r="R30" s="58" t="str">
        <f t="shared" si="13"/>
        <v>1.98875601535693,55.5555555555556</v>
      </c>
    </row>
    <row r="31" spans="1:21" x14ac:dyDescent="0.25">
      <c r="N31" s="17">
        <v>6</v>
      </c>
      <c r="O31" s="10">
        <v>178.1788</v>
      </c>
      <c r="P31" s="10">
        <f t="shared" si="11"/>
        <v>66.666666666666657</v>
      </c>
      <c r="Q31" s="10">
        <f t="shared" si="12"/>
        <v>3.0969085490546804</v>
      </c>
      <c r="R31" s="58" t="str">
        <f t="shared" si="13"/>
        <v>3.09690854905468,66.6666666666667</v>
      </c>
    </row>
    <row r="32" spans="1:21" x14ac:dyDescent="0.25">
      <c r="N32" s="17">
        <v>7</v>
      </c>
      <c r="O32" s="10">
        <v>261.5985</v>
      </c>
      <c r="P32" s="10">
        <f t="shared" si="11"/>
        <v>77.777777777777771</v>
      </c>
      <c r="Q32" s="10">
        <f t="shared" si="12"/>
        <v>4.5468183143554723</v>
      </c>
      <c r="R32" s="58" t="str">
        <f t="shared" si="13"/>
        <v>4.54681831435547,77.7777777777778</v>
      </c>
    </row>
    <row r="33" spans="14:18" x14ac:dyDescent="0.25">
      <c r="N33" s="17">
        <v>8</v>
      </c>
      <c r="O33" s="10">
        <v>368.61160000000001</v>
      </c>
      <c r="P33" s="10">
        <f t="shared" si="11"/>
        <v>88.888888888888886</v>
      </c>
      <c r="Q33" s="10">
        <f t="shared" si="12"/>
        <v>6.4068026910088305</v>
      </c>
      <c r="R33" s="58" t="str">
        <f t="shared" si="13"/>
        <v>6.40680269100883,88.8888888888889</v>
      </c>
    </row>
    <row r="34" spans="14:18" x14ac:dyDescent="0.25">
      <c r="N34" s="17">
        <v>9</v>
      </c>
      <c r="O34" s="10">
        <v>504.2346</v>
      </c>
      <c r="P34" s="10">
        <f t="shared" si="11"/>
        <v>100</v>
      </c>
      <c r="Q34" s="10">
        <f t="shared" si="12"/>
        <v>8.7640529819999191</v>
      </c>
      <c r="R34" s="58" t="str">
        <f t="shared" si="13"/>
        <v>8.76405298199992,100</v>
      </c>
    </row>
    <row r="35" spans="14:18" x14ac:dyDescent="0.25">
      <c r="N35" s="17">
        <v>10</v>
      </c>
      <c r="O35" s="10">
        <v>675.12079999999992</v>
      </c>
      <c r="P35" s="10">
        <f t="shared" si="11"/>
        <v>111.11111111111111</v>
      </c>
      <c r="Q35" s="10">
        <f t="shared" si="12"/>
        <v>11.734209553351098</v>
      </c>
      <c r="R35" s="58" t="str">
        <f t="shared" si="13"/>
        <v>11.7342095533511,111.111111111111</v>
      </c>
    </row>
    <row r="36" spans="14:18" x14ac:dyDescent="0.25">
      <c r="N36" s="17">
        <v>11</v>
      </c>
      <c r="O36" s="10">
        <v>889.48879999999986</v>
      </c>
      <c r="P36" s="10">
        <f t="shared" si="11"/>
        <v>122.22222222222221</v>
      </c>
      <c r="Q36" s="10">
        <f t="shared" si="12"/>
        <v>15.460119099513456</v>
      </c>
      <c r="R36" s="58" t="str">
        <f t="shared" si="13"/>
        <v>15.4601190995135,122.222222222222</v>
      </c>
    </row>
    <row r="37" spans="14:18" x14ac:dyDescent="0.25">
      <c r="N37" s="17">
        <v>12</v>
      </c>
      <c r="O37" s="10">
        <v>1155.4487999999999</v>
      </c>
      <c r="P37" s="10">
        <f t="shared" si="11"/>
        <v>133.33333333333331</v>
      </c>
      <c r="Q37" s="10">
        <f t="shared" si="12"/>
        <v>20.0827442249862</v>
      </c>
      <c r="R37" s="58" t="str">
        <f t="shared" si="13"/>
        <v>20.0827442249862,133.333333333333</v>
      </c>
    </row>
    <row r="38" spans="14:18" x14ac:dyDescent="0.25">
      <c r="N38" s="17">
        <v>13</v>
      </c>
      <c r="O38" s="10">
        <v>1478.7318</v>
      </c>
      <c r="P38" s="10">
        <f t="shared" si="11"/>
        <v>144.44444444444443</v>
      </c>
      <c r="Q38" s="10">
        <f t="shared" si="12"/>
        <v>25.701694888387483</v>
      </c>
      <c r="R38" s="58" t="str">
        <f t="shared" si="13"/>
        <v>25.7016948883875,144.444444444444</v>
      </c>
    </row>
    <row r="39" spans="14:18" x14ac:dyDescent="0.25">
      <c r="N39" s="17">
        <v>14</v>
      </c>
      <c r="O39" s="10">
        <v>1861.9587999999999</v>
      </c>
      <c r="P39" s="10">
        <f t="shared" si="11"/>
        <v>155.55555555555554</v>
      </c>
      <c r="Q39" s="10">
        <f t="shared" si="12"/>
        <v>32.362526438092488</v>
      </c>
      <c r="R39" s="58" t="str">
        <f t="shared" si="13"/>
        <v>32.3625264380925,155.555555555556</v>
      </c>
    </row>
    <row r="40" spans="14:18" x14ac:dyDescent="0.25">
      <c r="N40" s="17">
        <v>14.52</v>
      </c>
      <c r="O40" s="10">
        <v>2084.3114239999995</v>
      </c>
      <c r="P40" s="10">
        <f t="shared" si="11"/>
        <v>161.33333333333331</v>
      </c>
      <c r="Q40" s="10">
        <f t="shared" si="12"/>
        <v>36.227215964401672</v>
      </c>
      <c r="R40" s="58" t="str">
        <f t="shared" si="13"/>
        <v>36.2272159644017,161.333333333333</v>
      </c>
    </row>
    <row r="41" spans="14:18" ht="15.75" thickBot="1" x14ac:dyDescent="0.3">
      <c r="N41" s="19">
        <v>15.16</v>
      </c>
      <c r="O41" s="34">
        <v>2374.7807999999995</v>
      </c>
      <c r="P41" s="34">
        <f t="shared" si="11"/>
        <v>168.44444444444443</v>
      </c>
      <c r="Q41" s="34">
        <f t="shared" si="12"/>
        <v>41.275836191796735</v>
      </c>
      <c r="R41" s="59" t="str">
        <f t="shared" si="13"/>
        <v>41.2758361917967,168.444444444444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10C6-80C0-4C00-821A-5FE489197C9C}">
  <dimension ref="A1:U42"/>
  <sheetViews>
    <sheetView zoomScale="85" zoomScaleNormal="85" workbookViewId="0">
      <selection activeCell="U39" sqref="U39"/>
    </sheetView>
  </sheetViews>
  <sheetFormatPr defaultRowHeight="15" x14ac:dyDescent="0.25"/>
  <cols>
    <col min="1" max="3" width="9.28515625" style="4" bestFit="1" customWidth="1"/>
    <col min="4" max="4" width="9.5703125" style="4" bestFit="1" customWidth="1"/>
    <col min="5" max="11" width="9.28515625" style="4" bestFit="1" customWidth="1"/>
    <col min="12" max="13" width="9.140625" style="4"/>
    <col min="14" max="14" width="9.28515625" style="4" bestFit="1" customWidth="1"/>
    <col min="15" max="15" width="10.7109375" style="4" customWidth="1"/>
    <col min="16" max="16" width="14.42578125" style="4" customWidth="1"/>
    <col min="17" max="17" width="15" style="4" customWidth="1"/>
    <col min="18" max="18" width="37.42578125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0.18149000000000001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>N2*$O$22</f>
        <v>0</v>
      </c>
      <c r="Q2" s="51">
        <f>O2*$R$22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1.8965000000000001</v>
      </c>
      <c r="E3" s="10">
        <f>D3+D2</f>
        <v>2.0779900000000002</v>
      </c>
      <c r="F3" s="10">
        <f>C3*E3</f>
        <v>2.0779900000000002</v>
      </c>
      <c r="G3" s="10">
        <f>G2+F3</f>
        <v>2.0779900000000002</v>
      </c>
      <c r="H3" s="10">
        <f t="shared" ref="H3:H19" si="0">B3*D3</f>
        <v>1.8965000000000001</v>
      </c>
      <c r="I3" s="10">
        <f>H3+H2</f>
        <v>1.8965000000000001</v>
      </c>
      <c r="J3" s="10">
        <f t="shared" ref="J3:J19" si="1">C3*I3</f>
        <v>1.8965000000000001</v>
      </c>
      <c r="K3" s="58">
        <f>K2+J3</f>
        <v>1.8965000000000001</v>
      </c>
      <c r="N3" s="17">
        <v>1</v>
      </c>
      <c r="O3" s="10">
        <v>2.0779900000000002</v>
      </c>
      <c r="P3" s="10">
        <f t="shared" ref="P3:P18" si="2">N3*$O$22</f>
        <v>11.111111111111111</v>
      </c>
      <c r="Q3" s="10">
        <f t="shared" ref="Q3:Q18" si="3">O3*$R$22</f>
        <v>0.2461571812379468</v>
      </c>
      <c r="R3" s="58" t="str">
        <f t="shared" ref="R3:R18" si="4">CONCATENATE(Q3,",",P3)</f>
        <v>0.246157181237947,11.1111111111111</v>
      </c>
    </row>
    <row r="4" spans="1:18" x14ac:dyDescent="0.25">
      <c r="A4" s="17">
        <v>2</v>
      </c>
      <c r="B4" s="10">
        <v>2</v>
      </c>
      <c r="C4" s="10">
        <f t="shared" ref="C4:C19" si="5">B4-B3</f>
        <v>1</v>
      </c>
      <c r="D4" s="11">
        <v>2.4828000000000001</v>
      </c>
      <c r="E4" s="10">
        <f t="shared" ref="E4:E19" si="6">D4+D3</f>
        <v>4.3793000000000006</v>
      </c>
      <c r="F4" s="10">
        <f t="shared" ref="F4:F19" si="7">C4*E4</f>
        <v>4.3793000000000006</v>
      </c>
      <c r="G4" s="10">
        <f t="shared" ref="G4:G19" si="8">G3+F4</f>
        <v>6.4572900000000004</v>
      </c>
      <c r="H4" s="10">
        <f t="shared" si="0"/>
        <v>4.9656000000000002</v>
      </c>
      <c r="I4" s="10">
        <f t="shared" ref="I4:I19" si="9">H4+H3</f>
        <v>6.8620999999999999</v>
      </c>
      <c r="J4" s="10">
        <f t="shared" si="1"/>
        <v>6.8620999999999999</v>
      </c>
      <c r="K4" s="58">
        <f t="shared" ref="K4:K19" si="10">K3+J4</f>
        <v>8.7585999999999995</v>
      </c>
      <c r="N4" s="17">
        <v>2</v>
      </c>
      <c r="O4" s="10">
        <v>6.4572900000000004</v>
      </c>
      <c r="P4" s="10">
        <f t="shared" si="2"/>
        <v>22.222222222222221</v>
      </c>
      <c r="Q4" s="10">
        <f t="shared" si="3"/>
        <v>0.76492586818799968</v>
      </c>
      <c r="R4" s="58" t="str">
        <f t="shared" si="4"/>
        <v>0.764925868188,22.2222222222222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2.8119999999999998</v>
      </c>
      <c r="E5" s="10">
        <f t="shared" si="6"/>
        <v>5.2948000000000004</v>
      </c>
      <c r="F5" s="10">
        <f t="shared" si="7"/>
        <v>5.2948000000000004</v>
      </c>
      <c r="G5" s="10">
        <f t="shared" si="8"/>
        <v>11.752090000000001</v>
      </c>
      <c r="H5" s="10">
        <f t="shared" si="0"/>
        <v>8.4359999999999999</v>
      </c>
      <c r="I5" s="10">
        <f t="shared" si="9"/>
        <v>13.4016</v>
      </c>
      <c r="J5" s="10">
        <f t="shared" si="1"/>
        <v>13.4016</v>
      </c>
      <c r="K5" s="58">
        <f t="shared" si="10"/>
        <v>22.1602</v>
      </c>
      <c r="N5" s="17">
        <v>3</v>
      </c>
      <c r="O5" s="10">
        <v>11.752090000000001</v>
      </c>
      <c r="P5" s="10">
        <f t="shared" si="2"/>
        <v>33.333333333333329</v>
      </c>
      <c r="Q5" s="10">
        <f t="shared" si="3"/>
        <v>1.3921440180437163</v>
      </c>
      <c r="R5" s="58" t="str">
        <f t="shared" si="4"/>
        <v>1.39214401804372,33.3333333333333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3.0367999999999999</v>
      </c>
      <c r="E6" s="10">
        <f t="shared" si="6"/>
        <v>5.8487999999999998</v>
      </c>
      <c r="F6" s="10">
        <f t="shared" si="7"/>
        <v>5.8487999999999998</v>
      </c>
      <c r="G6" s="10">
        <f t="shared" si="8"/>
        <v>17.60089</v>
      </c>
      <c r="H6" s="10">
        <f t="shared" si="0"/>
        <v>12.1472</v>
      </c>
      <c r="I6" s="10">
        <f t="shared" si="9"/>
        <v>20.583199999999998</v>
      </c>
      <c r="J6" s="10">
        <f t="shared" si="1"/>
        <v>20.583199999999998</v>
      </c>
      <c r="K6" s="58">
        <f t="shared" si="10"/>
        <v>42.743399999999994</v>
      </c>
      <c r="N6" s="17">
        <v>4</v>
      </c>
      <c r="O6" s="10">
        <v>17.60089</v>
      </c>
      <c r="P6" s="10">
        <f t="shared" si="2"/>
        <v>44.444444444444443</v>
      </c>
      <c r="Q6" s="10">
        <f t="shared" si="3"/>
        <v>2.0849886042180978</v>
      </c>
      <c r="R6" s="58" t="str">
        <f t="shared" si="4"/>
        <v>2.0849886042181,44.4444444444444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3.2374999999999998</v>
      </c>
      <c r="E7" s="10">
        <f t="shared" si="6"/>
        <v>6.2743000000000002</v>
      </c>
      <c r="F7" s="10">
        <f t="shared" si="7"/>
        <v>6.2743000000000002</v>
      </c>
      <c r="G7" s="10">
        <f t="shared" si="8"/>
        <v>23.87519</v>
      </c>
      <c r="H7" s="10">
        <f t="shared" si="0"/>
        <v>16.1875</v>
      </c>
      <c r="I7" s="10">
        <f t="shared" si="9"/>
        <v>28.334699999999998</v>
      </c>
      <c r="J7" s="10">
        <f t="shared" si="1"/>
        <v>28.334699999999998</v>
      </c>
      <c r="K7" s="58">
        <f t="shared" si="10"/>
        <v>71.078099999999992</v>
      </c>
      <c r="N7" s="17">
        <v>5</v>
      </c>
      <c r="O7" s="10">
        <v>23.87519</v>
      </c>
      <c r="P7" s="10">
        <f t="shared" si="2"/>
        <v>55.555555555555557</v>
      </c>
      <c r="Q7" s="10">
        <f t="shared" si="3"/>
        <v>2.8282376103448112</v>
      </c>
      <c r="R7" s="58" t="str">
        <f t="shared" si="4"/>
        <v>2.82823761034481,55.5555555555556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3.4573</v>
      </c>
      <c r="E8" s="10">
        <f t="shared" si="6"/>
        <v>6.6947999999999999</v>
      </c>
      <c r="F8" s="10">
        <f t="shared" si="7"/>
        <v>6.6947999999999999</v>
      </c>
      <c r="G8" s="10">
        <f t="shared" si="8"/>
        <v>30.569990000000001</v>
      </c>
      <c r="H8" s="10">
        <f t="shared" si="0"/>
        <v>20.7438</v>
      </c>
      <c r="I8" s="10">
        <f t="shared" si="9"/>
        <v>36.9313</v>
      </c>
      <c r="J8" s="10">
        <f t="shared" si="1"/>
        <v>36.9313</v>
      </c>
      <c r="K8" s="58">
        <f t="shared" si="10"/>
        <v>108.0094</v>
      </c>
      <c r="N8" s="17">
        <v>6</v>
      </c>
      <c r="O8" s="10">
        <v>30.569990000000001</v>
      </c>
      <c r="P8" s="10">
        <f t="shared" si="2"/>
        <v>66.666666666666657</v>
      </c>
      <c r="Q8" s="10">
        <f t="shared" si="3"/>
        <v>3.6212987400671901</v>
      </c>
      <c r="R8" s="58" t="str">
        <f t="shared" si="4"/>
        <v>3.62129874006719,66.6666666666667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3.7397999999999998</v>
      </c>
      <c r="E9" s="10">
        <f t="shared" si="6"/>
        <v>7.1970999999999998</v>
      </c>
      <c r="F9" s="10">
        <f t="shared" si="7"/>
        <v>7.1970999999999998</v>
      </c>
      <c r="G9" s="10">
        <f t="shared" si="8"/>
        <v>37.767090000000003</v>
      </c>
      <c r="H9" s="10">
        <f t="shared" si="0"/>
        <v>26.178599999999999</v>
      </c>
      <c r="I9" s="10">
        <f t="shared" si="9"/>
        <v>46.922399999999996</v>
      </c>
      <c r="J9" s="10">
        <f t="shared" si="1"/>
        <v>46.922399999999996</v>
      </c>
      <c r="K9" s="58">
        <f t="shared" si="10"/>
        <v>154.93180000000001</v>
      </c>
      <c r="N9" s="17">
        <v>7</v>
      </c>
      <c r="O9" s="10">
        <v>37.767090000000003</v>
      </c>
      <c r="P9" s="10">
        <f t="shared" si="2"/>
        <v>77.777777777777771</v>
      </c>
      <c r="Q9" s="10">
        <f t="shared" si="3"/>
        <v>4.473861961780301</v>
      </c>
      <c r="R9" s="58" t="str">
        <f t="shared" si="4"/>
        <v>4.4738619617803,77.7777777777778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4.1276999999999999</v>
      </c>
      <c r="E10" s="10">
        <f t="shared" si="6"/>
        <v>7.8674999999999997</v>
      </c>
      <c r="F10" s="10">
        <f t="shared" si="7"/>
        <v>7.8674999999999997</v>
      </c>
      <c r="G10" s="10">
        <f t="shared" si="8"/>
        <v>45.634590000000003</v>
      </c>
      <c r="H10" s="10">
        <f t="shared" si="0"/>
        <v>33.021599999999999</v>
      </c>
      <c r="I10" s="10">
        <f t="shared" si="9"/>
        <v>59.200199999999995</v>
      </c>
      <c r="J10" s="10">
        <f t="shared" si="1"/>
        <v>59.200199999999995</v>
      </c>
      <c r="K10" s="58">
        <f t="shared" si="10"/>
        <v>214.13200000000001</v>
      </c>
      <c r="N10" s="17">
        <v>8</v>
      </c>
      <c r="O10" s="10">
        <v>45.634590000000003</v>
      </c>
      <c r="P10" s="10">
        <f t="shared" si="2"/>
        <v>88.888888888888886</v>
      </c>
      <c r="Q10" s="10">
        <f t="shared" si="3"/>
        <v>5.4058402789952762</v>
      </c>
      <c r="R10" s="58" t="str">
        <f t="shared" si="4"/>
        <v>5.40584027899528,88.8888888888889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4.6868999999999996</v>
      </c>
      <c r="E11" s="10">
        <f t="shared" si="6"/>
        <v>8.8145999999999987</v>
      </c>
      <c r="F11" s="10">
        <f t="shared" si="7"/>
        <v>8.8145999999999987</v>
      </c>
      <c r="G11" s="10">
        <f t="shared" si="8"/>
        <v>54.449190000000002</v>
      </c>
      <c r="H11" s="10">
        <f t="shared" si="0"/>
        <v>42.182099999999998</v>
      </c>
      <c r="I11" s="10">
        <f t="shared" si="9"/>
        <v>75.203699999999998</v>
      </c>
      <c r="J11" s="10">
        <f t="shared" si="1"/>
        <v>75.203699999999998</v>
      </c>
      <c r="K11" s="58">
        <f t="shared" si="10"/>
        <v>289.33569999999997</v>
      </c>
      <c r="N11" s="17">
        <v>9</v>
      </c>
      <c r="O11" s="10">
        <v>54.449190000000002</v>
      </c>
      <c r="P11" s="10">
        <f t="shared" si="2"/>
        <v>100</v>
      </c>
      <c r="Q11" s="10">
        <f t="shared" si="3"/>
        <v>6.4500113720900485</v>
      </c>
      <c r="R11" s="58" t="str">
        <f t="shared" si="4"/>
        <v>6.45001137209005,100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5.5331999999999999</v>
      </c>
      <c r="E12" s="10">
        <f t="shared" si="6"/>
        <v>10.220099999999999</v>
      </c>
      <c r="F12" s="10">
        <f t="shared" si="7"/>
        <v>10.220099999999999</v>
      </c>
      <c r="G12" s="10">
        <f t="shared" si="8"/>
        <v>64.669290000000004</v>
      </c>
      <c r="H12" s="10">
        <f t="shared" si="0"/>
        <v>55.332000000000001</v>
      </c>
      <c r="I12" s="10">
        <f t="shared" si="9"/>
        <v>97.514099999999999</v>
      </c>
      <c r="J12" s="10">
        <f t="shared" si="1"/>
        <v>97.514099999999999</v>
      </c>
      <c r="K12" s="58">
        <f t="shared" si="10"/>
        <v>386.84979999999996</v>
      </c>
      <c r="N12" s="17">
        <v>10</v>
      </c>
      <c r="O12" s="10">
        <v>64.669290000000004</v>
      </c>
      <c r="P12" s="10">
        <f t="shared" si="2"/>
        <v>111.11111111111111</v>
      </c>
      <c r="Q12" s="10">
        <f t="shared" si="3"/>
        <v>7.6606769710438165</v>
      </c>
      <c r="R12" s="58" t="str">
        <f t="shared" si="4"/>
        <v>7.66067697104382,111.111111111111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6.7480000000000002</v>
      </c>
      <c r="E13" s="10">
        <f t="shared" si="6"/>
        <v>12.2812</v>
      </c>
      <c r="F13" s="10">
        <f t="shared" si="7"/>
        <v>12.2812</v>
      </c>
      <c r="G13" s="10">
        <f t="shared" si="8"/>
        <v>76.950490000000002</v>
      </c>
      <c r="H13" s="10">
        <f t="shared" si="0"/>
        <v>74.228000000000009</v>
      </c>
      <c r="I13" s="10">
        <f t="shared" si="9"/>
        <v>129.56</v>
      </c>
      <c r="J13" s="10">
        <f t="shared" si="1"/>
        <v>129.56</v>
      </c>
      <c r="K13" s="58">
        <f t="shared" si="10"/>
        <v>516.4097999999999</v>
      </c>
      <c r="N13" s="17">
        <v>11</v>
      </c>
      <c r="O13" s="10">
        <v>76.950490000000002</v>
      </c>
      <c r="P13" s="10">
        <f t="shared" si="2"/>
        <v>122.22222222222221</v>
      </c>
      <c r="Q13" s="10">
        <f t="shared" si="3"/>
        <v>9.1154989741427102</v>
      </c>
      <c r="R13" s="58" t="str">
        <f t="shared" si="4"/>
        <v>9.11549897414271,122.222222222222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8.3566000000000003</v>
      </c>
      <c r="E14" s="10">
        <f t="shared" si="6"/>
        <v>15.104600000000001</v>
      </c>
      <c r="F14" s="10">
        <f t="shared" si="7"/>
        <v>15.104600000000001</v>
      </c>
      <c r="G14" s="10">
        <f t="shared" si="8"/>
        <v>92.055090000000007</v>
      </c>
      <c r="H14" s="10">
        <f t="shared" si="0"/>
        <v>100.2792</v>
      </c>
      <c r="I14" s="10">
        <f t="shared" si="9"/>
        <v>174.50720000000001</v>
      </c>
      <c r="J14" s="10">
        <f t="shared" si="1"/>
        <v>174.50720000000001</v>
      </c>
      <c r="K14" s="58">
        <f t="shared" si="10"/>
        <v>690.91699999999992</v>
      </c>
      <c r="N14" s="17">
        <v>12</v>
      </c>
      <c r="O14" s="10">
        <v>92.055090000000007</v>
      </c>
      <c r="P14" s="10">
        <f t="shared" si="2"/>
        <v>133.33333333333331</v>
      </c>
      <c r="Q14" s="10">
        <f t="shared" si="3"/>
        <v>10.904778883924131</v>
      </c>
      <c r="R14" s="58" t="str">
        <f t="shared" si="4"/>
        <v>10.9047788839241,133.333333333333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10.177</v>
      </c>
      <c r="E15" s="10">
        <f t="shared" si="6"/>
        <v>18.5336</v>
      </c>
      <c r="F15" s="10">
        <f t="shared" si="7"/>
        <v>18.5336</v>
      </c>
      <c r="G15" s="10">
        <f t="shared" si="8"/>
        <v>110.58869000000001</v>
      </c>
      <c r="H15" s="10">
        <f t="shared" si="0"/>
        <v>132.30099999999999</v>
      </c>
      <c r="I15" s="10">
        <f t="shared" si="9"/>
        <v>232.58019999999999</v>
      </c>
      <c r="J15" s="10">
        <f t="shared" si="1"/>
        <v>232.58019999999999</v>
      </c>
      <c r="K15" s="58">
        <f t="shared" si="10"/>
        <v>923.49719999999991</v>
      </c>
      <c r="N15" s="17">
        <v>13</v>
      </c>
      <c r="O15" s="10">
        <v>110.58869000000001</v>
      </c>
      <c r="P15" s="10">
        <f t="shared" si="2"/>
        <v>144.44444444444443</v>
      </c>
      <c r="Q15" s="10">
        <f t="shared" si="3"/>
        <v>13.100255635107539</v>
      </c>
      <c r="R15" s="58" t="str">
        <f t="shared" si="4"/>
        <v>13.1002556351075,144.444444444444</v>
      </c>
    </row>
    <row r="16" spans="1:18" x14ac:dyDescent="0.25">
      <c r="A16" s="17">
        <v>14</v>
      </c>
      <c r="B16" s="10">
        <v>14</v>
      </c>
      <c r="C16" s="10">
        <f t="shared" si="5"/>
        <v>1</v>
      </c>
      <c r="D16" s="11">
        <v>11.981</v>
      </c>
      <c r="E16" s="10">
        <f t="shared" si="6"/>
        <v>22.158000000000001</v>
      </c>
      <c r="F16" s="10">
        <f t="shared" si="7"/>
        <v>22.158000000000001</v>
      </c>
      <c r="G16" s="10">
        <f t="shared" si="8"/>
        <v>132.74669</v>
      </c>
      <c r="H16" s="10">
        <f t="shared" si="0"/>
        <v>167.73400000000001</v>
      </c>
      <c r="I16" s="10">
        <f t="shared" si="9"/>
        <v>300.03499999999997</v>
      </c>
      <c r="J16" s="10">
        <f t="shared" si="1"/>
        <v>300.03499999999997</v>
      </c>
      <c r="K16" s="58">
        <f t="shared" si="10"/>
        <v>1223.5321999999999</v>
      </c>
      <c r="N16" s="17">
        <v>14</v>
      </c>
      <c r="O16" s="10">
        <v>132.74669</v>
      </c>
      <c r="P16" s="10">
        <f t="shared" si="2"/>
        <v>155.55555555555554</v>
      </c>
      <c r="Q16" s="10">
        <f t="shared" si="3"/>
        <v>15.725076169311468</v>
      </c>
      <c r="R16" s="58" t="str">
        <f t="shared" si="4"/>
        <v>15.7250761693115,155.555555555556</v>
      </c>
    </row>
    <row r="17" spans="1:21" x14ac:dyDescent="0.25">
      <c r="A17" s="17">
        <v>15</v>
      </c>
      <c r="B17" s="10">
        <v>15</v>
      </c>
      <c r="C17" s="10">
        <f t="shared" si="5"/>
        <v>1</v>
      </c>
      <c r="D17" s="11">
        <v>12.952999999999999</v>
      </c>
      <c r="E17" s="10">
        <f t="shared" si="6"/>
        <v>24.933999999999997</v>
      </c>
      <c r="F17" s="10">
        <f t="shared" si="7"/>
        <v>24.933999999999997</v>
      </c>
      <c r="G17" s="10">
        <f t="shared" si="8"/>
        <v>157.68069</v>
      </c>
      <c r="H17" s="10">
        <f t="shared" si="0"/>
        <v>194.29499999999999</v>
      </c>
      <c r="I17" s="10">
        <f t="shared" si="9"/>
        <v>362.029</v>
      </c>
      <c r="J17" s="10">
        <f t="shared" si="1"/>
        <v>362.029</v>
      </c>
      <c r="K17" s="58">
        <f t="shared" si="10"/>
        <v>1585.5611999999999</v>
      </c>
      <c r="N17" s="17">
        <v>15</v>
      </c>
      <c r="O17" s="10">
        <v>157.68069</v>
      </c>
      <c r="P17" s="10">
        <f t="shared" si="2"/>
        <v>166.66666666666666</v>
      </c>
      <c r="Q17" s="10">
        <f t="shared" si="3"/>
        <v>18.678739640736723</v>
      </c>
      <c r="R17" s="58" t="str">
        <f t="shared" si="4"/>
        <v>18.6787396407367,166.666666666667</v>
      </c>
    </row>
    <row r="18" spans="1:21" x14ac:dyDescent="0.25">
      <c r="A18" s="17" t="s">
        <v>154</v>
      </c>
      <c r="B18" s="10">
        <v>15.1</v>
      </c>
      <c r="C18" s="10">
        <f t="shared" si="5"/>
        <v>9.9999999999999645E-2</v>
      </c>
      <c r="D18" s="10">
        <v>13.29</v>
      </c>
      <c r="E18" s="10">
        <f t="shared" si="6"/>
        <v>26.242999999999999</v>
      </c>
      <c r="F18" s="10">
        <f t="shared" si="7"/>
        <v>2.6242999999999905</v>
      </c>
      <c r="G18" s="10">
        <f t="shared" si="8"/>
        <v>160.30498999999998</v>
      </c>
      <c r="H18" s="10">
        <f t="shared" si="0"/>
        <v>200.67899999999997</v>
      </c>
      <c r="I18" s="10">
        <f t="shared" si="9"/>
        <v>394.97399999999993</v>
      </c>
      <c r="J18" s="10">
        <f t="shared" si="1"/>
        <v>39.49739999999985</v>
      </c>
      <c r="K18" s="58">
        <f t="shared" si="10"/>
        <v>1625.0585999999996</v>
      </c>
      <c r="N18" s="17">
        <v>15.1</v>
      </c>
      <c r="O18" s="10">
        <v>160.30498999999998</v>
      </c>
      <c r="P18" s="10">
        <f t="shared" si="2"/>
        <v>167.77777777777777</v>
      </c>
      <c r="Q18" s="10">
        <f t="shared" si="3"/>
        <v>18.989612306496777</v>
      </c>
      <c r="R18" s="58" t="str">
        <f t="shared" si="4"/>
        <v>18.9896123064968,167.777777777778</v>
      </c>
    </row>
    <row r="19" spans="1:21" ht="15.75" thickBot="1" x14ac:dyDescent="0.3">
      <c r="A19" s="19" t="s">
        <v>5</v>
      </c>
      <c r="B19" s="34">
        <v>15.64</v>
      </c>
      <c r="C19" s="34">
        <f t="shared" si="5"/>
        <v>0.54000000000000092</v>
      </c>
      <c r="D19" s="34">
        <v>13.01</v>
      </c>
      <c r="E19" s="34">
        <f t="shared" si="6"/>
        <v>26.299999999999997</v>
      </c>
      <c r="F19" s="34">
        <f t="shared" si="7"/>
        <v>14.202000000000023</v>
      </c>
      <c r="G19" s="34">
        <f t="shared" si="8"/>
        <v>174.50699</v>
      </c>
      <c r="H19" s="34">
        <f t="shared" si="0"/>
        <v>203.47640000000001</v>
      </c>
      <c r="I19" s="34">
        <f t="shared" si="9"/>
        <v>404.15539999999999</v>
      </c>
      <c r="J19" s="34">
        <f t="shared" si="1"/>
        <v>218.24391600000035</v>
      </c>
      <c r="K19" s="59">
        <f t="shared" si="10"/>
        <v>1843.302516</v>
      </c>
      <c r="N19" s="19">
        <v>15.64</v>
      </c>
      <c r="O19" s="34">
        <v>174.50699</v>
      </c>
      <c r="P19" s="34">
        <f t="shared" ref="P19" si="11">N19*$O$22</f>
        <v>173.77777777777777</v>
      </c>
      <c r="Q19" s="34">
        <f t="shared" ref="Q19" si="12">O19*$R$22</f>
        <v>20.671970877972736</v>
      </c>
      <c r="R19" s="59" t="str">
        <f t="shared" ref="R19" si="13">CONCATENATE(Q19,",",P19)</f>
        <v>20.6719708779727,173.777777777778</v>
      </c>
    </row>
    <row r="20" spans="1:21" x14ac:dyDescent="0.25">
      <c r="O20" s="4" t="s">
        <v>155</v>
      </c>
      <c r="Q20" s="4" t="s">
        <v>156</v>
      </c>
      <c r="T20" s="4" t="s">
        <v>159</v>
      </c>
    </row>
    <row r="21" spans="1:21" x14ac:dyDescent="0.25">
      <c r="N21" s="4">
        <v>18</v>
      </c>
      <c r="O21" s="4">
        <v>200</v>
      </c>
      <c r="Q21" s="4">
        <v>422.08600000000001</v>
      </c>
      <c r="R21" s="4">
        <v>50</v>
      </c>
      <c r="T21" s="4">
        <v>2876.7204000000002</v>
      </c>
      <c r="U21" s="4">
        <v>50</v>
      </c>
    </row>
    <row r="22" spans="1:21" x14ac:dyDescent="0.25">
      <c r="O22" s="4">
        <v>11.111111111111111</v>
      </c>
      <c r="R22" s="4">
        <v>0.11845927133333017</v>
      </c>
      <c r="U22" s="4">
        <v>1.7380903615102809E-2</v>
      </c>
    </row>
    <row r="23" spans="1:21" ht="15.75" thickBot="1" x14ac:dyDescent="0.3"/>
    <row r="24" spans="1:21" ht="15.75" thickBot="1" x14ac:dyDescent="0.3">
      <c r="N24" s="5" t="s">
        <v>4</v>
      </c>
      <c r="O24" s="5" t="s">
        <v>153</v>
      </c>
      <c r="P24" s="5" t="s">
        <v>155</v>
      </c>
      <c r="Q24" s="5" t="s">
        <v>159</v>
      </c>
      <c r="R24" s="5" t="s">
        <v>157</v>
      </c>
    </row>
    <row r="25" spans="1:21" x14ac:dyDescent="0.25">
      <c r="N25" s="42">
        <v>0</v>
      </c>
      <c r="O25" s="51">
        <v>0</v>
      </c>
      <c r="P25" s="51">
        <f>N25*$O$22</f>
        <v>0</v>
      </c>
      <c r="Q25" s="51">
        <f>O25*$U$22</f>
        <v>0</v>
      </c>
      <c r="R25" s="43" t="str">
        <f>CONCATENATE(Q25,",",P25)</f>
        <v>0,0</v>
      </c>
    </row>
    <row r="26" spans="1:21" x14ac:dyDescent="0.25">
      <c r="N26" s="17">
        <v>1</v>
      </c>
      <c r="O26" s="10">
        <v>1.8965000000000001</v>
      </c>
      <c r="P26" s="10">
        <f t="shared" ref="P26:P41" si="14">N26*$O$22</f>
        <v>11.111111111111111</v>
      </c>
      <c r="Q26" s="10">
        <f t="shared" ref="Q26:Q41" si="15">O26*$U$22</f>
        <v>3.296288370604248E-2</v>
      </c>
      <c r="R26" s="58" t="str">
        <f t="shared" ref="R26:R41" si="16">CONCATENATE(Q26,",",P26)</f>
        <v>0.0329628837060425,11.1111111111111</v>
      </c>
    </row>
    <row r="27" spans="1:21" x14ac:dyDescent="0.25">
      <c r="N27" s="17">
        <v>2</v>
      </c>
      <c r="O27" s="10">
        <v>8.7585999999999995</v>
      </c>
      <c r="P27" s="10">
        <f t="shared" si="14"/>
        <v>22.222222222222221</v>
      </c>
      <c r="Q27" s="10">
        <f t="shared" si="15"/>
        <v>0.15223238240323944</v>
      </c>
      <c r="R27" s="58" t="str">
        <f t="shared" si="16"/>
        <v>0.152232382403239,22.2222222222222</v>
      </c>
    </row>
    <row r="28" spans="1:21" x14ac:dyDescent="0.25">
      <c r="N28" s="17">
        <v>3</v>
      </c>
      <c r="O28" s="10">
        <v>22.1602</v>
      </c>
      <c r="P28" s="10">
        <f t="shared" si="14"/>
        <v>33.333333333333329</v>
      </c>
      <c r="Q28" s="10">
        <f t="shared" si="15"/>
        <v>0.38516430029140125</v>
      </c>
      <c r="R28" s="58" t="str">
        <f t="shared" si="16"/>
        <v>0.385164300291401,33.3333333333333</v>
      </c>
    </row>
    <row r="29" spans="1:21" x14ac:dyDescent="0.25">
      <c r="N29" s="17">
        <v>4</v>
      </c>
      <c r="O29" s="10">
        <v>42.743399999999994</v>
      </c>
      <c r="P29" s="10">
        <f t="shared" si="14"/>
        <v>44.444444444444443</v>
      </c>
      <c r="Q29" s="10">
        <f t="shared" si="15"/>
        <v>0.74291891558178524</v>
      </c>
      <c r="R29" s="58" t="str">
        <f t="shared" si="16"/>
        <v>0.742918915581785,44.4444444444444</v>
      </c>
    </row>
    <row r="30" spans="1:21" x14ac:dyDescent="0.25">
      <c r="N30" s="17">
        <v>5</v>
      </c>
      <c r="O30" s="10">
        <v>71.078099999999992</v>
      </c>
      <c r="P30" s="10">
        <f t="shared" si="14"/>
        <v>55.555555555555557</v>
      </c>
      <c r="Q30" s="10">
        <f t="shared" si="15"/>
        <v>1.2354016052446388</v>
      </c>
      <c r="R30" s="58" t="str">
        <f t="shared" si="16"/>
        <v>1.23540160524464,55.5555555555556</v>
      </c>
    </row>
    <row r="31" spans="1:21" x14ac:dyDescent="0.25">
      <c r="N31" s="17">
        <v>6</v>
      </c>
      <c r="O31" s="10">
        <v>108.0094</v>
      </c>
      <c r="P31" s="10">
        <f t="shared" si="14"/>
        <v>66.666666666666657</v>
      </c>
      <c r="Q31" s="10">
        <f t="shared" si="15"/>
        <v>1.8773009709250852</v>
      </c>
      <c r="R31" s="58" t="str">
        <f t="shared" si="16"/>
        <v>1.87730097092509,66.6666666666667</v>
      </c>
    </row>
    <row r="32" spans="1:21" x14ac:dyDescent="0.25">
      <c r="N32" s="17">
        <v>7</v>
      </c>
      <c r="O32" s="10">
        <v>154.93180000000001</v>
      </c>
      <c r="P32" s="10">
        <f t="shared" si="14"/>
        <v>77.777777777777771</v>
      </c>
      <c r="Q32" s="10">
        <f t="shared" si="15"/>
        <v>2.6928546827143856</v>
      </c>
      <c r="R32" s="58" t="str">
        <f t="shared" si="16"/>
        <v>2.69285468271439,77.7777777777778</v>
      </c>
    </row>
    <row r="33" spans="14:18" x14ac:dyDescent="0.25">
      <c r="N33" s="17">
        <v>8</v>
      </c>
      <c r="O33" s="10">
        <v>214.13200000000001</v>
      </c>
      <c r="P33" s="10">
        <f t="shared" si="14"/>
        <v>88.888888888888886</v>
      </c>
      <c r="Q33" s="10">
        <f t="shared" si="15"/>
        <v>3.7218076529091948</v>
      </c>
      <c r="R33" s="58" t="str">
        <f t="shared" si="16"/>
        <v>3.72180765290919,88.8888888888889</v>
      </c>
    </row>
    <row r="34" spans="14:18" x14ac:dyDescent="0.25">
      <c r="N34" s="17">
        <v>9</v>
      </c>
      <c r="O34" s="10">
        <v>289.33569999999997</v>
      </c>
      <c r="P34" s="10">
        <f t="shared" si="14"/>
        <v>100</v>
      </c>
      <c r="Q34" s="10">
        <f t="shared" si="15"/>
        <v>5.0289159141083015</v>
      </c>
      <c r="R34" s="58" t="str">
        <f t="shared" si="16"/>
        <v>5.0289159141083,100</v>
      </c>
    </row>
    <row r="35" spans="14:18" x14ac:dyDescent="0.25">
      <c r="N35" s="17">
        <v>10</v>
      </c>
      <c r="O35" s="10">
        <v>386.84979999999996</v>
      </c>
      <c r="P35" s="10">
        <f t="shared" si="14"/>
        <v>111.11111111111111</v>
      </c>
      <c r="Q35" s="10">
        <f t="shared" si="15"/>
        <v>6.7237990873217974</v>
      </c>
      <c r="R35" s="58" t="str">
        <f t="shared" si="16"/>
        <v>6.7237990873218,111.111111111111</v>
      </c>
    </row>
    <row r="36" spans="14:18" x14ac:dyDescent="0.25">
      <c r="N36" s="17">
        <v>11</v>
      </c>
      <c r="O36" s="10">
        <v>516.4097999999999</v>
      </c>
      <c r="P36" s="10">
        <f t="shared" si="14"/>
        <v>122.22222222222221</v>
      </c>
      <c r="Q36" s="10">
        <f t="shared" si="15"/>
        <v>8.9756689596945165</v>
      </c>
      <c r="R36" s="58" t="str">
        <f t="shared" si="16"/>
        <v>8.97566895969452,122.222222222222</v>
      </c>
    </row>
    <row r="37" spans="14:18" x14ac:dyDescent="0.25">
      <c r="N37" s="17">
        <v>12</v>
      </c>
      <c r="O37" s="10">
        <v>690.91699999999992</v>
      </c>
      <c r="P37" s="10">
        <f t="shared" si="14"/>
        <v>133.33333333333331</v>
      </c>
      <c r="Q37" s="10">
        <f t="shared" si="15"/>
        <v>12.008761783035986</v>
      </c>
      <c r="R37" s="58" t="str">
        <f t="shared" si="16"/>
        <v>12.008761783036,133.333333333333</v>
      </c>
    </row>
    <row r="38" spans="14:18" x14ac:dyDescent="0.25">
      <c r="N38" s="17">
        <v>13</v>
      </c>
      <c r="O38" s="10">
        <v>923.49719999999991</v>
      </c>
      <c r="P38" s="10">
        <f t="shared" si="14"/>
        <v>144.44444444444443</v>
      </c>
      <c r="Q38" s="10">
        <f t="shared" si="15"/>
        <v>16.051215822017319</v>
      </c>
      <c r="R38" s="58" t="str">
        <f t="shared" si="16"/>
        <v>16.0512158220173,144.444444444444</v>
      </c>
    </row>
    <row r="39" spans="14:18" x14ac:dyDescent="0.25">
      <c r="N39" s="17">
        <v>14</v>
      </c>
      <c r="O39" s="10">
        <v>1223.5321999999999</v>
      </c>
      <c r="P39" s="10">
        <f t="shared" si="14"/>
        <v>155.55555555555554</v>
      </c>
      <c r="Q39" s="10">
        <f t="shared" si="15"/>
        <v>21.266095238174689</v>
      </c>
      <c r="R39" s="58" t="str">
        <f t="shared" si="16"/>
        <v>21.2660952381747,155.555555555556</v>
      </c>
    </row>
    <row r="40" spans="14:18" x14ac:dyDescent="0.25">
      <c r="N40" s="17">
        <v>15</v>
      </c>
      <c r="O40" s="10">
        <v>1585.5611999999999</v>
      </c>
      <c r="P40" s="10">
        <f t="shared" si="14"/>
        <v>166.66666666666666</v>
      </c>
      <c r="Q40" s="10">
        <f t="shared" si="15"/>
        <v>27.558486393046746</v>
      </c>
      <c r="R40" s="58" t="str">
        <f t="shared" si="16"/>
        <v>27.5584863930467,166.666666666667</v>
      </c>
    </row>
    <row r="41" spans="14:18" x14ac:dyDescent="0.25">
      <c r="N41" s="17">
        <v>15.1</v>
      </c>
      <c r="O41" s="10">
        <v>1625.0585999999996</v>
      </c>
      <c r="P41" s="10">
        <f t="shared" si="14"/>
        <v>167.77777777777777</v>
      </c>
      <c r="Q41" s="10">
        <f t="shared" si="15"/>
        <v>28.244986895493902</v>
      </c>
      <c r="R41" s="58" t="str">
        <f t="shared" si="16"/>
        <v>28.2449868954939,167.777777777778</v>
      </c>
    </row>
    <row r="42" spans="14:18" ht="15.75" thickBot="1" x14ac:dyDescent="0.3">
      <c r="N42" s="19">
        <v>15.64</v>
      </c>
      <c r="O42" s="34">
        <v>1843.302516</v>
      </c>
      <c r="P42" s="34">
        <f t="shared" ref="P42" si="17">N42*$O$22</f>
        <v>173.77777777777777</v>
      </c>
      <c r="Q42" s="34">
        <f t="shared" ref="Q42" si="18">O42*$U$22</f>
        <v>32.038263364072499</v>
      </c>
      <c r="R42" s="59" t="str">
        <f t="shared" ref="R42" si="19">CONCATENATE(Q42,",",P42)</f>
        <v>32.0382633640725,173.777777777778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7FD8-0D68-4B1D-916D-947227FD266D}">
  <dimension ref="A1:U42"/>
  <sheetViews>
    <sheetView zoomScale="85" zoomScaleNormal="85" workbookViewId="0">
      <selection activeCell="U40" sqref="U40"/>
    </sheetView>
  </sheetViews>
  <sheetFormatPr defaultRowHeight="15" x14ac:dyDescent="0.25"/>
  <cols>
    <col min="1" max="14" width="9.140625" style="4"/>
    <col min="15" max="15" width="10.7109375" style="4" customWidth="1"/>
    <col min="16" max="16" width="12.28515625" style="4" customWidth="1"/>
    <col min="17" max="17" width="13.140625" style="4" customWidth="1"/>
    <col min="18" max="18" width="35.42578125" style="4" customWidth="1"/>
    <col min="19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63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>
        <v>0</v>
      </c>
      <c r="B2" s="51">
        <v>0</v>
      </c>
      <c r="C2" s="51" t="s">
        <v>9</v>
      </c>
      <c r="D2" s="13">
        <v>3.1335E-3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</v>
      </c>
      <c r="O2" s="51">
        <v>0</v>
      </c>
      <c r="P2" s="51">
        <f>N2*$O$22</f>
        <v>0</v>
      </c>
      <c r="Q2" s="51">
        <f>O2*$R$22</f>
        <v>0</v>
      </c>
      <c r="R2" s="43" t="str">
        <f>CONCATENATE(Q2,",",P2)</f>
        <v>0,0</v>
      </c>
    </row>
    <row r="3" spans="1:18" x14ac:dyDescent="0.25">
      <c r="A3" s="17">
        <v>1</v>
      </c>
      <c r="B3" s="10">
        <v>1</v>
      </c>
      <c r="C3" s="10">
        <f>B3-B2</f>
        <v>1</v>
      </c>
      <c r="D3" s="11">
        <v>1.2503</v>
      </c>
      <c r="E3" s="10">
        <f>D3+D2</f>
        <v>1.2534334999999999</v>
      </c>
      <c r="F3" s="10">
        <f>C3*E3</f>
        <v>1.2534334999999999</v>
      </c>
      <c r="G3" s="10">
        <f>G2+F3</f>
        <v>1.2534334999999999</v>
      </c>
      <c r="H3" s="10">
        <f t="shared" ref="H3:H19" si="0">B3*D3</f>
        <v>1.2503</v>
      </c>
      <c r="I3" s="10">
        <f>H3+H2</f>
        <v>1.2503</v>
      </c>
      <c r="J3" s="10">
        <f t="shared" ref="J3:J19" si="1">C3*I3</f>
        <v>1.2503</v>
      </c>
      <c r="K3" s="58">
        <f>K2+J3</f>
        <v>1.2503</v>
      </c>
      <c r="N3" s="17">
        <v>1</v>
      </c>
      <c r="O3" s="10">
        <v>1.2534334999999999</v>
      </c>
      <c r="P3" s="10">
        <f t="shared" ref="P3:P19" si="2">N3*$O$22</f>
        <v>11.111111111111111</v>
      </c>
      <c r="Q3" s="10">
        <f t="shared" ref="Q3:Q19" si="3">O3*$R$22</f>
        <v>0.14848081907478569</v>
      </c>
      <c r="R3" s="58" t="str">
        <f t="shared" ref="R3:R19" si="4">CONCATENATE(Q3,",",P3)</f>
        <v>0.148480819074786,11.1111111111111</v>
      </c>
    </row>
    <row r="4" spans="1:18" x14ac:dyDescent="0.25">
      <c r="A4" s="17">
        <v>2</v>
      </c>
      <c r="B4" s="10">
        <v>2</v>
      </c>
      <c r="C4" s="10">
        <f t="shared" ref="C4:C19" si="5">B4-B3</f>
        <v>1</v>
      </c>
      <c r="D4" s="11">
        <v>1.7650999999999999</v>
      </c>
      <c r="E4" s="10">
        <f t="shared" ref="E4:E19" si="6">D4+D3</f>
        <v>3.0153999999999996</v>
      </c>
      <c r="F4" s="10">
        <f t="shared" ref="F4:F19" si="7">C4*E4</f>
        <v>3.0153999999999996</v>
      </c>
      <c r="G4" s="10">
        <f t="shared" ref="G4:G19" si="8">G3+F4</f>
        <v>4.2688334999999995</v>
      </c>
      <c r="H4" s="10">
        <f t="shared" si="0"/>
        <v>3.5301999999999998</v>
      </c>
      <c r="I4" s="10">
        <f t="shared" ref="I4:I19" si="9">H4+H3</f>
        <v>4.7805</v>
      </c>
      <c r="J4" s="10">
        <f t="shared" si="1"/>
        <v>4.7805</v>
      </c>
      <c r="K4" s="58">
        <f t="shared" ref="K4:K19" si="10">K3+J4</f>
        <v>6.0308000000000002</v>
      </c>
      <c r="N4" s="17">
        <v>2</v>
      </c>
      <c r="O4" s="10">
        <v>4.2688334999999995</v>
      </c>
      <c r="P4" s="10">
        <f t="shared" si="2"/>
        <v>22.222222222222221</v>
      </c>
      <c r="Q4" s="10">
        <f t="shared" si="3"/>
        <v>0.50568290585330944</v>
      </c>
      <c r="R4" s="58" t="str">
        <f t="shared" si="4"/>
        <v>0.505682905853309,22.2222222222222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2.0531999999999999</v>
      </c>
      <c r="E5" s="10">
        <f t="shared" si="6"/>
        <v>3.8182999999999998</v>
      </c>
      <c r="F5" s="10">
        <f t="shared" si="7"/>
        <v>3.8182999999999998</v>
      </c>
      <c r="G5" s="10">
        <f t="shared" si="8"/>
        <v>8.0871335000000002</v>
      </c>
      <c r="H5" s="10">
        <f t="shared" si="0"/>
        <v>6.1595999999999993</v>
      </c>
      <c r="I5" s="10">
        <f t="shared" si="9"/>
        <v>9.6897999999999982</v>
      </c>
      <c r="J5" s="10">
        <f t="shared" si="1"/>
        <v>9.6897999999999982</v>
      </c>
      <c r="K5" s="58">
        <f t="shared" si="10"/>
        <v>15.720599999999997</v>
      </c>
      <c r="N5" s="17">
        <v>3</v>
      </c>
      <c r="O5" s="10">
        <v>8.0871335000000002</v>
      </c>
      <c r="P5" s="10">
        <f t="shared" si="2"/>
        <v>33.333333333333329</v>
      </c>
      <c r="Q5" s="10">
        <f t="shared" si="3"/>
        <v>0.95799594158536416</v>
      </c>
      <c r="R5" s="58" t="str">
        <f t="shared" si="4"/>
        <v>0.957995941585364,33.3333333333333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2.1743999999999999</v>
      </c>
      <c r="E6" s="10">
        <f t="shared" si="6"/>
        <v>4.2275999999999998</v>
      </c>
      <c r="F6" s="10">
        <f t="shared" si="7"/>
        <v>4.2275999999999998</v>
      </c>
      <c r="G6" s="10">
        <f t="shared" si="8"/>
        <v>12.314733499999999</v>
      </c>
      <c r="H6" s="10">
        <f t="shared" si="0"/>
        <v>8.6975999999999996</v>
      </c>
      <c r="I6" s="10">
        <f t="shared" si="9"/>
        <v>14.857199999999999</v>
      </c>
      <c r="J6" s="10">
        <f t="shared" si="1"/>
        <v>14.857199999999999</v>
      </c>
      <c r="K6" s="58">
        <f t="shared" si="10"/>
        <v>30.577799999999996</v>
      </c>
      <c r="N6" s="17">
        <v>4</v>
      </c>
      <c r="O6" s="10">
        <v>12.314733499999999</v>
      </c>
      <c r="P6" s="10">
        <f t="shared" si="2"/>
        <v>44.444444444444443</v>
      </c>
      <c r="Q6" s="10">
        <f t="shared" si="3"/>
        <v>1.4587943570741506</v>
      </c>
      <c r="R6" s="58" t="str">
        <f t="shared" si="4"/>
        <v>1.45879435707415,44.4444444444444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2.1562999999999999</v>
      </c>
      <c r="E7" s="10">
        <f t="shared" si="6"/>
        <v>4.3307000000000002</v>
      </c>
      <c r="F7" s="10">
        <f t="shared" si="7"/>
        <v>4.3307000000000002</v>
      </c>
      <c r="G7" s="10">
        <f t="shared" si="8"/>
        <v>16.645433499999999</v>
      </c>
      <c r="H7" s="10">
        <f t="shared" si="0"/>
        <v>10.781499999999999</v>
      </c>
      <c r="I7" s="10">
        <f t="shared" si="9"/>
        <v>19.479099999999999</v>
      </c>
      <c r="J7" s="10">
        <f t="shared" si="1"/>
        <v>19.479099999999999</v>
      </c>
      <c r="K7" s="58">
        <f t="shared" si="10"/>
        <v>50.056899999999999</v>
      </c>
      <c r="N7" s="17">
        <v>5</v>
      </c>
      <c r="O7" s="10">
        <v>16.645433499999999</v>
      </c>
      <c r="P7" s="10">
        <f t="shared" si="2"/>
        <v>55.555555555555557</v>
      </c>
      <c r="Q7" s="10">
        <f t="shared" si="3"/>
        <v>1.9718059234374037</v>
      </c>
      <c r="R7" s="58" t="str">
        <f t="shared" si="4"/>
        <v>1.9718059234374,55.5555555555556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2.0299999999999998</v>
      </c>
      <c r="E8" s="10">
        <f t="shared" si="6"/>
        <v>4.1862999999999992</v>
      </c>
      <c r="F8" s="10">
        <f t="shared" si="7"/>
        <v>4.1862999999999992</v>
      </c>
      <c r="G8" s="10">
        <f t="shared" si="8"/>
        <v>20.831733499999999</v>
      </c>
      <c r="H8" s="10">
        <f t="shared" si="0"/>
        <v>12.18</v>
      </c>
      <c r="I8" s="10">
        <f t="shared" si="9"/>
        <v>22.961500000000001</v>
      </c>
      <c r="J8" s="10">
        <f t="shared" si="1"/>
        <v>22.961500000000001</v>
      </c>
      <c r="K8" s="58">
        <f t="shared" si="10"/>
        <v>73.0184</v>
      </c>
      <c r="N8" s="17">
        <v>6</v>
      </c>
      <c r="O8" s="10">
        <v>20.831733499999999</v>
      </c>
      <c r="P8" s="10">
        <f t="shared" si="2"/>
        <v>66.666666666666657</v>
      </c>
      <c r="Q8" s="10">
        <f t="shared" si="3"/>
        <v>2.4677119710201239</v>
      </c>
      <c r="R8" s="58" t="str">
        <f t="shared" si="4"/>
        <v>2.46771197102012,66.6666666666667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1.8567</v>
      </c>
      <c r="E9" s="10">
        <f t="shared" si="6"/>
        <v>3.8866999999999998</v>
      </c>
      <c r="F9" s="10">
        <f t="shared" si="7"/>
        <v>3.8866999999999998</v>
      </c>
      <c r="G9" s="10">
        <f t="shared" si="8"/>
        <v>24.7184335</v>
      </c>
      <c r="H9" s="10">
        <f t="shared" si="0"/>
        <v>12.9969</v>
      </c>
      <c r="I9" s="10">
        <f t="shared" si="9"/>
        <v>25.1769</v>
      </c>
      <c r="J9" s="10">
        <f t="shared" si="1"/>
        <v>25.1769</v>
      </c>
      <c r="K9" s="58">
        <f t="shared" si="10"/>
        <v>98.195300000000003</v>
      </c>
      <c r="N9" s="17">
        <v>7</v>
      </c>
      <c r="O9" s="10">
        <v>24.7184335</v>
      </c>
      <c r="P9" s="10">
        <f t="shared" si="2"/>
        <v>77.777777777777771</v>
      </c>
      <c r="Q9" s="10">
        <f t="shared" si="3"/>
        <v>2.9281276209113782</v>
      </c>
      <c r="R9" s="58" t="str">
        <f t="shared" si="4"/>
        <v>2.92812762091138,77.7777777777778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1.7811999999999999</v>
      </c>
      <c r="E10" s="10">
        <f t="shared" si="6"/>
        <v>3.6379000000000001</v>
      </c>
      <c r="F10" s="10">
        <f t="shared" si="7"/>
        <v>3.6379000000000001</v>
      </c>
      <c r="G10" s="10">
        <f t="shared" si="8"/>
        <v>28.356333499999998</v>
      </c>
      <c r="H10" s="10">
        <f t="shared" si="0"/>
        <v>14.249599999999999</v>
      </c>
      <c r="I10" s="10">
        <f t="shared" si="9"/>
        <v>27.246499999999997</v>
      </c>
      <c r="J10" s="10">
        <f t="shared" si="1"/>
        <v>27.246499999999997</v>
      </c>
      <c r="K10" s="58">
        <f t="shared" si="10"/>
        <v>125.4418</v>
      </c>
      <c r="N10" s="17">
        <v>8</v>
      </c>
      <c r="O10" s="10">
        <v>28.356333499999998</v>
      </c>
      <c r="P10" s="10">
        <f t="shared" si="2"/>
        <v>88.888888888888886</v>
      </c>
      <c r="Q10" s="10">
        <f t="shared" si="3"/>
        <v>3.3590706040948999</v>
      </c>
      <c r="R10" s="58" t="str">
        <f t="shared" si="4"/>
        <v>3.3590706040949,88.8888888888889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1.9075</v>
      </c>
      <c r="E11" s="10">
        <f t="shared" si="6"/>
        <v>3.6886999999999999</v>
      </c>
      <c r="F11" s="10">
        <f t="shared" si="7"/>
        <v>3.6886999999999999</v>
      </c>
      <c r="G11" s="10">
        <f t="shared" si="8"/>
        <v>32.045033499999995</v>
      </c>
      <c r="H11" s="10">
        <f t="shared" si="0"/>
        <v>17.1675</v>
      </c>
      <c r="I11" s="10">
        <f t="shared" si="9"/>
        <v>31.417099999999998</v>
      </c>
      <c r="J11" s="10">
        <f t="shared" si="1"/>
        <v>31.417099999999998</v>
      </c>
      <c r="K11" s="58">
        <f t="shared" si="10"/>
        <v>156.85890000000001</v>
      </c>
      <c r="N11" s="17">
        <v>9</v>
      </c>
      <c r="O11" s="10">
        <v>32.045033499999995</v>
      </c>
      <c r="P11" s="10">
        <f t="shared" si="2"/>
        <v>100</v>
      </c>
      <c r="Q11" s="10">
        <f t="shared" si="3"/>
        <v>3.7960313182621546</v>
      </c>
      <c r="R11" s="58" t="str">
        <f t="shared" si="4"/>
        <v>3.79603131826215,100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2.3031999999999999</v>
      </c>
      <c r="E12" s="10">
        <f t="shared" si="6"/>
        <v>4.2107000000000001</v>
      </c>
      <c r="F12" s="10">
        <f t="shared" si="7"/>
        <v>4.2107000000000001</v>
      </c>
      <c r="G12" s="10">
        <f t="shared" si="8"/>
        <v>36.255733499999998</v>
      </c>
      <c r="H12" s="10">
        <f t="shared" si="0"/>
        <v>23.032</v>
      </c>
      <c r="I12" s="10">
        <f t="shared" si="9"/>
        <v>40.1995</v>
      </c>
      <c r="J12" s="10">
        <f t="shared" si="1"/>
        <v>40.1995</v>
      </c>
      <c r="K12" s="58">
        <f t="shared" si="10"/>
        <v>197.05840000000001</v>
      </c>
      <c r="N12" s="17">
        <v>10</v>
      </c>
      <c r="O12" s="10">
        <v>36.255733499999998</v>
      </c>
      <c r="P12" s="10">
        <f t="shared" si="2"/>
        <v>111.11111111111111</v>
      </c>
      <c r="Q12" s="10">
        <f t="shared" si="3"/>
        <v>4.2948277720654087</v>
      </c>
      <c r="R12" s="58" t="str">
        <f t="shared" si="4"/>
        <v>4.29482777206541,111.111111111111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3.0051000000000001</v>
      </c>
      <c r="E13" s="10">
        <f t="shared" si="6"/>
        <v>5.3083</v>
      </c>
      <c r="F13" s="10">
        <f t="shared" si="7"/>
        <v>5.3083</v>
      </c>
      <c r="G13" s="10">
        <f t="shared" si="8"/>
        <v>41.564033500000001</v>
      </c>
      <c r="H13" s="10">
        <f t="shared" si="0"/>
        <v>33.056100000000001</v>
      </c>
      <c r="I13" s="10">
        <f t="shared" si="9"/>
        <v>56.088099999999997</v>
      </c>
      <c r="J13" s="10">
        <f t="shared" si="1"/>
        <v>56.088099999999997</v>
      </c>
      <c r="K13" s="58">
        <f t="shared" si="10"/>
        <v>253.1465</v>
      </c>
      <c r="N13" s="17">
        <v>11</v>
      </c>
      <c r="O13" s="10">
        <v>41.564033500000001</v>
      </c>
      <c r="P13" s="10">
        <f t="shared" si="2"/>
        <v>122.22222222222221</v>
      </c>
      <c r="Q13" s="10">
        <f t="shared" si="3"/>
        <v>4.9236451220841255</v>
      </c>
      <c r="R13" s="58" t="str">
        <f t="shared" si="4"/>
        <v>4.92364512208413,122.222222222222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4.0702999999999996</v>
      </c>
      <c r="E14" s="10">
        <f t="shared" si="6"/>
        <v>7.0754000000000001</v>
      </c>
      <c r="F14" s="10">
        <f t="shared" si="7"/>
        <v>7.0754000000000001</v>
      </c>
      <c r="G14" s="10">
        <f t="shared" si="8"/>
        <v>48.639433500000003</v>
      </c>
      <c r="H14" s="10">
        <f t="shared" si="0"/>
        <v>48.843599999999995</v>
      </c>
      <c r="I14" s="10">
        <f t="shared" si="9"/>
        <v>81.899699999999996</v>
      </c>
      <c r="J14" s="10">
        <f t="shared" si="1"/>
        <v>81.899699999999996</v>
      </c>
      <c r="K14" s="58">
        <f t="shared" si="10"/>
        <v>335.0462</v>
      </c>
      <c r="N14" s="17">
        <v>12</v>
      </c>
      <c r="O14" s="10">
        <v>48.639433500000003</v>
      </c>
      <c r="P14" s="10">
        <f t="shared" si="2"/>
        <v>133.33333333333331</v>
      </c>
      <c r="Q14" s="10">
        <f t="shared" si="3"/>
        <v>5.7617918504759693</v>
      </c>
      <c r="R14" s="58" t="str">
        <f t="shared" si="4"/>
        <v>5.76179185047597,133.333333333333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5.6375000000000002</v>
      </c>
      <c r="E15" s="10">
        <f t="shared" si="6"/>
        <v>9.7077999999999989</v>
      </c>
      <c r="F15" s="10">
        <f t="shared" si="7"/>
        <v>9.7077999999999989</v>
      </c>
      <c r="G15" s="10">
        <f t="shared" si="8"/>
        <v>58.347233500000002</v>
      </c>
      <c r="H15" s="10">
        <f t="shared" si="0"/>
        <v>73.287500000000009</v>
      </c>
      <c r="I15" s="10">
        <f t="shared" si="9"/>
        <v>122.1311</v>
      </c>
      <c r="J15" s="10">
        <f t="shared" si="1"/>
        <v>122.1311</v>
      </c>
      <c r="K15" s="58">
        <f t="shared" si="10"/>
        <v>457.1773</v>
      </c>
      <c r="N15" s="17">
        <v>13</v>
      </c>
      <c r="O15" s="10">
        <v>58.347233500000002</v>
      </c>
      <c r="P15" s="10">
        <f t="shared" si="2"/>
        <v>144.44444444444443</v>
      </c>
      <c r="Q15" s="10">
        <f t="shared" si="3"/>
        <v>6.9117707647256719</v>
      </c>
      <c r="R15" s="58" t="str">
        <f t="shared" si="4"/>
        <v>6.91177076472567,144.444444444444</v>
      </c>
    </row>
    <row r="16" spans="1:18" x14ac:dyDescent="0.25">
      <c r="A16" s="17">
        <v>14</v>
      </c>
      <c r="B16" s="10">
        <v>14</v>
      </c>
      <c r="C16" s="10">
        <f t="shared" si="5"/>
        <v>1</v>
      </c>
      <c r="D16" s="11">
        <v>7.5816999999999997</v>
      </c>
      <c r="E16" s="10">
        <f t="shared" si="6"/>
        <v>13.219200000000001</v>
      </c>
      <c r="F16" s="10">
        <f t="shared" si="7"/>
        <v>13.219200000000001</v>
      </c>
      <c r="G16" s="10">
        <f t="shared" si="8"/>
        <v>71.566433500000002</v>
      </c>
      <c r="H16" s="10">
        <f t="shared" si="0"/>
        <v>106.1438</v>
      </c>
      <c r="I16" s="10">
        <f t="shared" si="9"/>
        <v>179.43130000000002</v>
      </c>
      <c r="J16" s="10">
        <f t="shared" si="1"/>
        <v>179.43130000000002</v>
      </c>
      <c r="K16" s="58">
        <f t="shared" si="10"/>
        <v>636.60860000000002</v>
      </c>
      <c r="N16" s="17">
        <v>14</v>
      </c>
      <c r="O16" s="10">
        <v>71.566433500000002</v>
      </c>
      <c r="P16" s="10">
        <f t="shared" si="2"/>
        <v>155.55555555555554</v>
      </c>
      <c r="Q16" s="10">
        <f t="shared" si="3"/>
        <v>8.4777075643352298</v>
      </c>
      <c r="R16" s="58" t="str">
        <f t="shared" si="4"/>
        <v>8.47770756433523,155.555555555556</v>
      </c>
    </row>
    <row r="17" spans="1:21" x14ac:dyDescent="0.25">
      <c r="A17" s="17">
        <v>15</v>
      </c>
      <c r="B17" s="10">
        <v>15</v>
      </c>
      <c r="C17" s="10">
        <f t="shared" si="5"/>
        <v>1</v>
      </c>
      <c r="D17" s="11">
        <v>8.8684999999999992</v>
      </c>
      <c r="E17" s="10">
        <f t="shared" si="6"/>
        <v>16.450199999999999</v>
      </c>
      <c r="F17" s="10">
        <f t="shared" si="7"/>
        <v>16.450199999999999</v>
      </c>
      <c r="G17" s="10">
        <f t="shared" si="8"/>
        <v>88.016633499999998</v>
      </c>
      <c r="H17" s="10">
        <f t="shared" si="0"/>
        <v>133.02749999999997</v>
      </c>
      <c r="I17" s="10">
        <f t="shared" si="9"/>
        <v>239.17129999999997</v>
      </c>
      <c r="J17" s="10">
        <f t="shared" si="1"/>
        <v>239.17129999999997</v>
      </c>
      <c r="K17" s="58">
        <f t="shared" si="10"/>
        <v>875.7799</v>
      </c>
      <c r="N17" s="17">
        <v>15</v>
      </c>
      <c r="O17" s="10">
        <v>88.016633499999998</v>
      </c>
      <c r="P17" s="10">
        <f t="shared" si="2"/>
        <v>166.66666666666666</v>
      </c>
      <c r="Q17" s="10">
        <f t="shared" si="3"/>
        <v>10.426386269622778</v>
      </c>
      <c r="R17" s="58" t="str">
        <f t="shared" si="4"/>
        <v>10.4263862696228,166.666666666667</v>
      </c>
    </row>
    <row r="18" spans="1:21" x14ac:dyDescent="0.25">
      <c r="A18" s="17" t="s">
        <v>154</v>
      </c>
      <c r="B18" s="10">
        <v>15.72</v>
      </c>
      <c r="C18" s="10">
        <f t="shared" si="5"/>
        <v>0.72000000000000064</v>
      </c>
      <c r="D18" s="10">
        <v>9.5</v>
      </c>
      <c r="E18" s="10">
        <f t="shared" si="6"/>
        <v>18.368499999999997</v>
      </c>
      <c r="F18" s="10">
        <f t="shared" si="7"/>
        <v>13.225320000000011</v>
      </c>
      <c r="G18" s="10">
        <f t="shared" si="8"/>
        <v>101.24195350000001</v>
      </c>
      <c r="H18" s="10">
        <f t="shared" si="0"/>
        <v>149.34</v>
      </c>
      <c r="I18" s="10">
        <f t="shared" si="9"/>
        <v>282.36749999999995</v>
      </c>
      <c r="J18" s="10">
        <f t="shared" si="1"/>
        <v>203.30460000000014</v>
      </c>
      <c r="K18" s="58">
        <f t="shared" si="10"/>
        <v>1079.0845000000002</v>
      </c>
      <c r="N18" s="17">
        <v>15.72</v>
      </c>
      <c r="O18" s="10">
        <v>101.24195350000001</v>
      </c>
      <c r="P18" s="10">
        <f t="shared" si="2"/>
        <v>174.66666666666666</v>
      </c>
      <c r="Q18" s="10">
        <f t="shared" si="3"/>
        <v>11.993048039972898</v>
      </c>
      <c r="R18" s="58" t="str">
        <f t="shared" si="4"/>
        <v>11.9930480399729,174.666666666667</v>
      </c>
    </row>
    <row r="19" spans="1:21" ht="15.75" thickBot="1" x14ac:dyDescent="0.3">
      <c r="A19" s="19" t="s">
        <v>5</v>
      </c>
      <c r="B19" s="34">
        <v>16.12</v>
      </c>
      <c r="C19" s="34">
        <f t="shared" si="5"/>
        <v>0.40000000000000036</v>
      </c>
      <c r="D19" s="34">
        <v>9.85</v>
      </c>
      <c r="E19" s="34">
        <f t="shared" si="6"/>
        <v>19.350000000000001</v>
      </c>
      <c r="F19" s="34">
        <f t="shared" si="7"/>
        <v>7.7400000000000073</v>
      </c>
      <c r="G19" s="34">
        <f t="shared" si="8"/>
        <v>108.98195350000002</v>
      </c>
      <c r="H19" s="34">
        <f t="shared" si="0"/>
        <v>158.78200000000001</v>
      </c>
      <c r="I19" s="34">
        <f t="shared" si="9"/>
        <v>308.12200000000001</v>
      </c>
      <c r="J19" s="34">
        <f t="shared" si="1"/>
        <v>123.24880000000012</v>
      </c>
      <c r="K19" s="59">
        <f t="shared" si="10"/>
        <v>1202.3333000000002</v>
      </c>
      <c r="N19" s="19">
        <v>16.12</v>
      </c>
      <c r="O19" s="34">
        <v>108.98195350000002</v>
      </c>
      <c r="P19" s="34">
        <f t="shared" si="2"/>
        <v>179.11111111111111</v>
      </c>
      <c r="Q19" s="34">
        <f t="shared" si="3"/>
        <v>12.909922800092874</v>
      </c>
      <c r="R19" s="59" t="str">
        <f t="shared" si="4"/>
        <v>12.9099228000929,179.111111111111</v>
      </c>
    </row>
    <row r="20" spans="1:21" x14ac:dyDescent="0.25">
      <c r="O20" s="4" t="s">
        <v>155</v>
      </c>
      <c r="Q20" s="4" t="s">
        <v>156</v>
      </c>
      <c r="T20" s="4" t="s">
        <v>159</v>
      </c>
    </row>
    <row r="21" spans="1:21" x14ac:dyDescent="0.25">
      <c r="N21" s="4">
        <v>18</v>
      </c>
      <c r="O21" s="4">
        <v>200</v>
      </c>
      <c r="Q21" s="4">
        <v>422.08600000000001</v>
      </c>
      <c r="R21" s="4">
        <v>50</v>
      </c>
      <c r="T21" s="4">
        <v>2876.7204000000002</v>
      </c>
      <c r="U21" s="4">
        <v>50</v>
      </c>
    </row>
    <row r="22" spans="1:21" x14ac:dyDescent="0.25">
      <c r="O22" s="4">
        <v>11.111111111111111</v>
      </c>
      <c r="R22" s="4">
        <v>0.11845927133333017</v>
      </c>
      <c r="U22" s="4">
        <v>1.7380903615102809E-2</v>
      </c>
    </row>
    <row r="23" spans="1:21" ht="15.75" thickBot="1" x14ac:dyDescent="0.3"/>
    <row r="24" spans="1:21" ht="15.75" thickBot="1" x14ac:dyDescent="0.3">
      <c r="N24" s="62" t="s">
        <v>4</v>
      </c>
      <c r="O24" s="5" t="s">
        <v>153</v>
      </c>
      <c r="P24" s="5" t="s">
        <v>155</v>
      </c>
      <c r="Q24" s="5" t="s">
        <v>159</v>
      </c>
      <c r="R24" s="5" t="s">
        <v>157</v>
      </c>
    </row>
    <row r="25" spans="1:21" x14ac:dyDescent="0.25">
      <c r="N25" s="42">
        <v>0</v>
      </c>
      <c r="O25" s="51">
        <v>0</v>
      </c>
      <c r="P25" s="51">
        <f>N25*$O$22</f>
        <v>0</v>
      </c>
      <c r="Q25" s="51">
        <f>O25*$U$22</f>
        <v>0</v>
      </c>
      <c r="R25" s="43" t="str">
        <f>CONCATENATE(Q25,",",P25)</f>
        <v>0,0</v>
      </c>
    </row>
    <row r="26" spans="1:21" x14ac:dyDescent="0.25">
      <c r="N26" s="17">
        <v>1</v>
      </c>
      <c r="O26" s="10">
        <v>1.2503</v>
      </c>
      <c r="P26" s="10">
        <f t="shared" ref="P26:P42" si="11">N26*$O$22</f>
        <v>11.111111111111111</v>
      </c>
      <c r="Q26" s="10">
        <f t="shared" ref="Q26:Q42" si="12">O26*$U$22</f>
        <v>2.173134378996304E-2</v>
      </c>
      <c r="R26" s="58" t="str">
        <f t="shared" ref="R26:R42" si="13">CONCATENATE(Q26,",",P26)</f>
        <v>0.021731343789963,11.1111111111111</v>
      </c>
    </row>
    <row r="27" spans="1:21" x14ac:dyDescent="0.25">
      <c r="N27" s="17">
        <v>2</v>
      </c>
      <c r="O27" s="10">
        <v>6.0308000000000002</v>
      </c>
      <c r="P27" s="10">
        <f t="shared" si="11"/>
        <v>22.222222222222221</v>
      </c>
      <c r="Q27" s="10">
        <f t="shared" si="12"/>
        <v>0.10482075352196202</v>
      </c>
      <c r="R27" s="58" t="str">
        <f t="shared" si="13"/>
        <v>0.104820753521962,22.2222222222222</v>
      </c>
    </row>
    <row r="28" spans="1:21" x14ac:dyDescent="0.25">
      <c r="N28" s="17">
        <v>3</v>
      </c>
      <c r="O28" s="10">
        <v>15.720599999999997</v>
      </c>
      <c r="P28" s="10">
        <f t="shared" si="11"/>
        <v>33.333333333333329</v>
      </c>
      <c r="Q28" s="10">
        <f t="shared" si="12"/>
        <v>0.27323823337158515</v>
      </c>
      <c r="R28" s="58" t="str">
        <f t="shared" si="13"/>
        <v>0.273238233371585,33.3333333333333</v>
      </c>
    </row>
    <row r="29" spans="1:21" x14ac:dyDescent="0.25">
      <c r="N29" s="17">
        <v>4</v>
      </c>
      <c r="O29" s="10">
        <v>30.577799999999996</v>
      </c>
      <c r="P29" s="10">
        <f t="shared" si="11"/>
        <v>44.444444444444443</v>
      </c>
      <c r="Q29" s="10">
        <f t="shared" si="12"/>
        <v>0.53146979456189058</v>
      </c>
      <c r="R29" s="58" t="str">
        <f t="shared" si="13"/>
        <v>0.531469794561891,44.4444444444444</v>
      </c>
    </row>
    <row r="30" spans="1:21" x14ac:dyDescent="0.25">
      <c r="N30" s="17">
        <v>5</v>
      </c>
      <c r="O30" s="10">
        <v>50.056899999999999</v>
      </c>
      <c r="P30" s="10">
        <f t="shared" si="11"/>
        <v>55.555555555555557</v>
      </c>
      <c r="Q30" s="10">
        <f t="shared" si="12"/>
        <v>0.87003415417083974</v>
      </c>
      <c r="R30" s="58" t="str">
        <f t="shared" si="13"/>
        <v>0.87003415417084,55.5555555555556</v>
      </c>
    </row>
    <row r="31" spans="1:21" x14ac:dyDescent="0.25">
      <c r="N31" s="17">
        <v>6</v>
      </c>
      <c r="O31" s="10">
        <v>73.0184</v>
      </c>
      <c r="P31" s="10">
        <f t="shared" si="11"/>
        <v>66.666666666666657</v>
      </c>
      <c r="Q31" s="10">
        <f t="shared" si="12"/>
        <v>1.2691257725290228</v>
      </c>
      <c r="R31" s="58" t="str">
        <f t="shared" si="13"/>
        <v>1.26912577252902,66.6666666666667</v>
      </c>
    </row>
    <row r="32" spans="1:21" x14ac:dyDescent="0.25">
      <c r="N32" s="17">
        <v>7</v>
      </c>
      <c r="O32" s="10">
        <v>98.195300000000003</v>
      </c>
      <c r="P32" s="10">
        <f t="shared" si="11"/>
        <v>77.777777777777771</v>
      </c>
      <c r="Q32" s="10">
        <f t="shared" si="12"/>
        <v>1.7067230447561048</v>
      </c>
      <c r="R32" s="58" t="str">
        <f t="shared" si="13"/>
        <v>1.7067230447561,77.7777777777778</v>
      </c>
    </row>
    <row r="33" spans="14:18" x14ac:dyDescent="0.25">
      <c r="N33" s="17">
        <v>8</v>
      </c>
      <c r="O33" s="10">
        <v>125.4418</v>
      </c>
      <c r="P33" s="10">
        <f t="shared" si="11"/>
        <v>88.888888888888886</v>
      </c>
      <c r="Q33" s="10">
        <f t="shared" si="12"/>
        <v>2.1802918351050034</v>
      </c>
      <c r="R33" s="58" t="str">
        <f t="shared" si="13"/>
        <v>2.180291835105,88.8888888888889</v>
      </c>
    </row>
    <row r="34" spans="14:18" x14ac:dyDescent="0.25">
      <c r="N34" s="17">
        <v>9</v>
      </c>
      <c r="O34" s="10">
        <v>156.85890000000001</v>
      </c>
      <c r="P34" s="10">
        <f t="shared" si="11"/>
        <v>100</v>
      </c>
      <c r="Q34" s="10">
        <f t="shared" si="12"/>
        <v>2.72634942207105</v>
      </c>
      <c r="R34" s="58" t="str">
        <f t="shared" si="13"/>
        <v>2.72634942207105,100</v>
      </c>
    </row>
    <row r="35" spans="14:18" x14ac:dyDescent="0.25">
      <c r="N35" s="17">
        <v>10</v>
      </c>
      <c r="O35" s="10">
        <v>197.05840000000001</v>
      </c>
      <c r="P35" s="10">
        <f t="shared" si="11"/>
        <v>111.11111111111111</v>
      </c>
      <c r="Q35" s="10">
        <f t="shared" si="12"/>
        <v>3.4250530569463753</v>
      </c>
      <c r="R35" s="58" t="str">
        <f t="shared" si="13"/>
        <v>3.42505305694638,111.111111111111</v>
      </c>
    </row>
    <row r="36" spans="14:18" x14ac:dyDescent="0.25">
      <c r="N36" s="17">
        <v>11</v>
      </c>
      <c r="O36" s="10">
        <v>253.1465</v>
      </c>
      <c r="P36" s="10">
        <f t="shared" si="11"/>
        <v>122.22222222222221</v>
      </c>
      <c r="Q36" s="10">
        <f t="shared" si="12"/>
        <v>4.3999149170006229</v>
      </c>
      <c r="R36" s="58" t="str">
        <f t="shared" si="13"/>
        <v>4.39991491700062,122.222222222222</v>
      </c>
    </row>
    <row r="37" spans="14:18" x14ac:dyDescent="0.25">
      <c r="N37" s="17">
        <v>12</v>
      </c>
      <c r="O37" s="10">
        <v>335.0462</v>
      </c>
      <c r="P37" s="10">
        <f t="shared" si="11"/>
        <v>133.33333333333331</v>
      </c>
      <c r="Q37" s="10">
        <f t="shared" si="12"/>
        <v>5.823405708806459</v>
      </c>
      <c r="R37" s="58" t="str">
        <f t="shared" si="13"/>
        <v>5.82340570880646,133.333333333333</v>
      </c>
    </row>
    <row r="38" spans="14:18" x14ac:dyDescent="0.25">
      <c r="N38" s="17">
        <v>13</v>
      </c>
      <c r="O38" s="10">
        <v>457.1773</v>
      </c>
      <c r="P38" s="10">
        <f t="shared" si="11"/>
        <v>144.44444444444443</v>
      </c>
      <c r="Q38" s="10">
        <f t="shared" si="12"/>
        <v>7.9461545863129412</v>
      </c>
      <c r="R38" s="58" t="str">
        <f t="shared" si="13"/>
        <v>7.94615458631294,144.444444444444</v>
      </c>
    </row>
    <row r="39" spans="14:18" x14ac:dyDescent="0.25">
      <c r="N39" s="17">
        <v>14</v>
      </c>
      <c r="O39" s="10">
        <v>636.60860000000002</v>
      </c>
      <c r="P39" s="10">
        <f t="shared" si="11"/>
        <v>155.55555555555554</v>
      </c>
      <c r="Q39" s="10">
        <f t="shared" si="12"/>
        <v>11.064832717145539</v>
      </c>
      <c r="R39" s="58" t="str">
        <f t="shared" si="13"/>
        <v>11.0648327171455,155.555555555556</v>
      </c>
    </row>
    <row r="40" spans="14:18" x14ac:dyDescent="0.25">
      <c r="N40" s="17">
        <v>15</v>
      </c>
      <c r="O40" s="10">
        <v>875.7799</v>
      </c>
      <c r="P40" s="10">
        <f t="shared" si="11"/>
        <v>166.66666666666666</v>
      </c>
      <c r="Q40" s="10">
        <f t="shared" si="12"/>
        <v>15.221846029944377</v>
      </c>
      <c r="R40" s="58" t="str">
        <f t="shared" si="13"/>
        <v>15.2218460299444,166.666666666667</v>
      </c>
    </row>
    <row r="41" spans="14:18" x14ac:dyDescent="0.25">
      <c r="N41" s="17">
        <v>15.72</v>
      </c>
      <c r="O41" s="10">
        <v>1079.0845000000002</v>
      </c>
      <c r="P41" s="10">
        <f t="shared" si="11"/>
        <v>174.66666666666666</v>
      </c>
      <c r="Q41" s="10">
        <f t="shared" si="12"/>
        <v>18.75546368705141</v>
      </c>
      <c r="R41" s="58" t="str">
        <f t="shared" si="13"/>
        <v>18.7554636870514,174.666666666667</v>
      </c>
    </row>
    <row r="42" spans="14:18" ht="15.75" thickBot="1" x14ac:dyDescent="0.3">
      <c r="N42" s="19">
        <v>16.12</v>
      </c>
      <c r="O42" s="34">
        <v>1202.3333000000002</v>
      </c>
      <c r="P42" s="34">
        <f t="shared" si="11"/>
        <v>179.11111111111111</v>
      </c>
      <c r="Q42" s="34">
        <f t="shared" si="12"/>
        <v>20.897639200528495</v>
      </c>
      <c r="R42" s="59" t="str">
        <f t="shared" si="13"/>
        <v>20.8976392005285,179.111111111111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39CA-B266-413C-87FC-C2F80BF4D520}">
  <dimension ref="A1:U44"/>
  <sheetViews>
    <sheetView zoomScale="85" zoomScaleNormal="85" workbookViewId="0">
      <selection activeCell="W30" sqref="W30"/>
    </sheetView>
  </sheetViews>
  <sheetFormatPr defaultRowHeight="15" x14ac:dyDescent="0.25"/>
  <cols>
    <col min="1" max="7" width="9.28515625" style="4" bestFit="1" customWidth="1"/>
    <col min="8" max="8" width="12.42578125" style="4" bestFit="1" customWidth="1"/>
    <col min="9" max="11" width="9.28515625" style="4" bestFit="1" customWidth="1"/>
    <col min="12" max="13" width="9.140625" style="4"/>
    <col min="14" max="14" width="9.28515625" style="4" bestFit="1" customWidth="1"/>
    <col min="15" max="15" width="12.42578125" style="4" customWidth="1"/>
    <col min="16" max="16" width="13.140625" style="4" customWidth="1"/>
    <col min="17" max="17" width="14.7109375" style="4" customWidth="1"/>
    <col min="18" max="18" width="38" style="4" customWidth="1"/>
    <col min="19" max="19" width="9.140625" style="4"/>
    <col min="20" max="21" width="9.28515625" style="4" bestFit="1" customWidth="1"/>
    <col min="22" max="16384" width="9.140625" style="4"/>
  </cols>
  <sheetData>
    <row r="1" spans="1:18" ht="15.75" thickBot="1" x14ac:dyDescent="0.3">
      <c r="A1" s="62" t="s">
        <v>8</v>
      </c>
      <c r="B1" s="5" t="s">
        <v>4</v>
      </c>
      <c r="C1" s="5" t="s">
        <v>146</v>
      </c>
      <c r="D1" s="5" t="s">
        <v>3</v>
      </c>
      <c r="E1" s="5" t="s">
        <v>147</v>
      </c>
      <c r="F1" s="5" t="s">
        <v>148</v>
      </c>
      <c r="G1" s="5" t="s">
        <v>149</v>
      </c>
      <c r="H1" s="5" t="s">
        <v>150</v>
      </c>
      <c r="I1" s="5" t="s">
        <v>151</v>
      </c>
      <c r="J1" s="5" t="s">
        <v>152</v>
      </c>
      <c r="K1" s="5" t="s">
        <v>153</v>
      </c>
      <c r="N1" s="5" t="s">
        <v>4</v>
      </c>
      <c r="O1" s="5" t="s">
        <v>149</v>
      </c>
      <c r="P1" s="5" t="s">
        <v>155</v>
      </c>
      <c r="Q1" s="5" t="s">
        <v>156</v>
      </c>
      <c r="R1" s="5" t="s">
        <v>157</v>
      </c>
    </row>
    <row r="2" spans="1:18" x14ac:dyDescent="0.25">
      <c r="A2" s="42" t="s">
        <v>158</v>
      </c>
      <c r="B2" s="51">
        <v>6.82</v>
      </c>
      <c r="C2" s="51" t="s">
        <v>9</v>
      </c>
      <c r="D2" s="67">
        <v>0</v>
      </c>
      <c r="E2" s="51" t="s">
        <v>9</v>
      </c>
      <c r="F2" s="51">
        <v>0</v>
      </c>
      <c r="G2" s="51">
        <v>0</v>
      </c>
      <c r="H2" s="51">
        <f>B2*D2</f>
        <v>0</v>
      </c>
      <c r="I2" s="51" t="s">
        <v>9</v>
      </c>
      <c r="J2" s="51" t="s">
        <v>9</v>
      </c>
      <c r="K2" s="43">
        <v>0</v>
      </c>
      <c r="N2" s="42">
        <v>0.68200000000000005</v>
      </c>
      <c r="O2" s="51">
        <v>0</v>
      </c>
      <c r="P2" s="51">
        <f t="shared" ref="P2:P20" si="0">N2*$O$23</f>
        <v>7.5777777777777784</v>
      </c>
      <c r="Q2" s="51">
        <f t="shared" ref="Q2:Q20" si="1">O2*$R$23</f>
        <v>0</v>
      </c>
      <c r="R2" s="43" t="str">
        <f>CONCATENATE(Q2,",",P2)</f>
        <v>0,7.57777777777778</v>
      </c>
    </row>
    <row r="3" spans="1:18" x14ac:dyDescent="0.25">
      <c r="A3" s="17">
        <v>1</v>
      </c>
      <c r="B3" s="10">
        <v>1</v>
      </c>
      <c r="C3" s="10">
        <f>B3-B2</f>
        <v>-5.82</v>
      </c>
      <c r="D3" s="11">
        <v>0.20494000000000001</v>
      </c>
      <c r="E3" s="10">
        <f>D3+D2</f>
        <v>0.20494000000000001</v>
      </c>
      <c r="F3" s="10">
        <f>C3*E3</f>
        <v>-1.1927508000000002</v>
      </c>
      <c r="G3" s="10">
        <f>G2+F3</f>
        <v>-1.1927508000000002</v>
      </c>
      <c r="H3" s="10">
        <f t="shared" ref="H3:H20" si="2">B3*D3</f>
        <v>0.20494000000000001</v>
      </c>
      <c r="I3" s="10">
        <f>H3+H2</f>
        <v>0.20494000000000001</v>
      </c>
      <c r="J3" s="10">
        <f t="shared" ref="J3:J20" si="3">C3*I3</f>
        <v>-1.1927508000000002</v>
      </c>
      <c r="K3" s="58">
        <f>K2+J3</f>
        <v>-1.1927508000000002</v>
      </c>
      <c r="N3" s="17">
        <v>1</v>
      </c>
      <c r="O3" s="10">
        <v>-1.1927508000000002</v>
      </c>
      <c r="P3" s="10">
        <f t="shared" si="0"/>
        <v>11.111111111111111</v>
      </c>
      <c r="Q3" s="10">
        <f t="shared" si="1"/>
        <v>-0.14129239065024665</v>
      </c>
      <c r="R3" s="58" t="str">
        <f t="shared" ref="R3:R19" si="4">CONCATENATE(Q3,",",P3)</f>
        <v>-0.141292390650247,11.1111111111111</v>
      </c>
    </row>
    <row r="4" spans="1:18" x14ac:dyDescent="0.25">
      <c r="A4" s="17">
        <v>2</v>
      </c>
      <c r="B4" s="10">
        <v>2</v>
      </c>
      <c r="C4" s="10">
        <f t="shared" ref="C4:C18" si="5">B4-B3</f>
        <v>1</v>
      </c>
      <c r="D4" s="11">
        <v>1.0864</v>
      </c>
      <c r="E4" s="10">
        <f t="shared" ref="E4:E15" si="6">D4+D3</f>
        <v>1.2913399999999999</v>
      </c>
      <c r="F4" s="10">
        <f t="shared" ref="F4:F20" si="7">C4*E4</f>
        <v>1.2913399999999999</v>
      </c>
      <c r="G4" s="10">
        <f t="shared" ref="G4:G15" si="8">G3+F4</f>
        <v>9.858919999999971E-2</v>
      </c>
      <c r="H4" s="10">
        <f t="shared" si="2"/>
        <v>2.1728000000000001</v>
      </c>
      <c r="I4" s="10">
        <f t="shared" ref="I4:I15" si="9">H4+H3</f>
        <v>2.3777400000000002</v>
      </c>
      <c r="J4" s="10">
        <f t="shared" si="3"/>
        <v>2.3777400000000002</v>
      </c>
      <c r="K4" s="58">
        <f t="shared" ref="K4:K15" si="10">K3+J4</f>
        <v>1.1849892</v>
      </c>
      <c r="N4" s="17">
        <v>2</v>
      </c>
      <c r="O4" s="10">
        <v>9.858919999999971E-2</v>
      </c>
      <c r="P4" s="10">
        <f t="shared" si="0"/>
        <v>22.222222222222221</v>
      </c>
      <c r="Q4" s="10">
        <f t="shared" si="1"/>
        <v>1.167880479333592E-2</v>
      </c>
      <c r="R4" s="58" t="str">
        <f t="shared" si="4"/>
        <v>0.0116788047933359,22.2222222222222</v>
      </c>
    </row>
    <row r="5" spans="1:18" x14ac:dyDescent="0.25">
      <c r="A5" s="17">
        <v>3</v>
      </c>
      <c r="B5" s="10">
        <v>3</v>
      </c>
      <c r="C5" s="10">
        <f t="shared" si="5"/>
        <v>1</v>
      </c>
      <c r="D5" s="11">
        <v>1.6521999999999999</v>
      </c>
      <c r="E5" s="10">
        <f t="shared" si="6"/>
        <v>2.7385999999999999</v>
      </c>
      <c r="F5" s="10">
        <f t="shared" si="7"/>
        <v>2.7385999999999999</v>
      </c>
      <c r="G5" s="10">
        <f t="shared" si="8"/>
        <v>2.8371891999999996</v>
      </c>
      <c r="H5" s="10">
        <f t="shared" si="2"/>
        <v>4.9565999999999999</v>
      </c>
      <c r="I5" s="10">
        <f t="shared" si="9"/>
        <v>7.1294000000000004</v>
      </c>
      <c r="J5" s="10">
        <f t="shared" si="3"/>
        <v>7.1294000000000004</v>
      </c>
      <c r="K5" s="58">
        <f t="shared" si="10"/>
        <v>8.3143892000000008</v>
      </c>
      <c r="N5" s="17">
        <v>3</v>
      </c>
      <c r="O5" s="10">
        <v>2.8371891999999996</v>
      </c>
      <c r="P5" s="10">
        <f t="shared" si="0"/>
        <v>33.333333333333329</v>
      </c>
      <c r="Q5" s="10">
        <f t="shared" si="1"/>
        <v>0.33609136526679395</v>
      </c>
      <c r="R5" s="58" t="str">
        <f t="shared" si="4"/>
        <v>0.336091365266794,33.3333333333333</v>
      </c>
    </row>
    <row r="6" spans="1:18" x14ac:dyDescent="0.25">
      <c r="A6" s="17">
        <v>4</v>
      </c>
      <c r="B6" s="10">
        <v>4</v>
      </c>
      <c r="C6" s="10">
        <f t="shared" si="5"/>
        <v>1</v>
      </c>
      <c r="D6" s="11">
        <v>1.9417</v>
      </c>
      <c r="E6" s="10">
        <f t="shared" si="6"/>
        <v>3.5938999999999997</v>
      </c>
      <c r="F6" s="10">
        <f t="shared" si="7"/>
        <v>3.5938999999999997</v>
      </c>
      <c r="G6" s="10">
        <f t="shared" si="8"/>
        <v>6.4310891999999988</v>
      </c>
      <c r="H6" s="10">
        <f t="shared" si="2"/>
        <v>7.7667999999999999</v>
      </c>
      <c r="I6" s="10">
        <f t="shared" si="9"/>
        <v>12.7234</v>
      </c>
      <c r="J6" s="10">
        <f t="shared" si="3"/>
        <v>12.7234</v>
      </c>
      <c r="K6" s="58">
        <f t="shared" si="10"/>
        <v>21.037789199999999</v>
      </c>
      <c r="N6" s="17">
        <v>4</v>
      </c>
      <c r="O6" s="10">
        <v>6.4310891999999988</v>
      </c>
      <c r="P6" s="10">
        <f t="shared" si="0"/>
        <v>44.444444444444443</v>
      </c>
      <c r="Q6" s="10">
        <f t="shared" si="1"/>
        <v>0.76182214051164909</v>
      </c>
      <c r="R6" s="58" t="str">
        <f t="shared" si="4"/>
        <v>0.761822140511649,44.4444444444444</v>
      </c>
    </row>
    <row r="7" spans="1:18" x14ac:dyDescent="0.25">
      <c r="A7" s="17">
        <v>5</v>
      </c>
      <c r="B7" s="10">
        <v>5</v>
      </c>
      <c r="C7" s="10">
        <f t="shared" si="5"/>
        <v>1</v>
      </c>
      <c r="D7" s="11">
        <v>2.02</v>
      </c>
      <c r="E7" s="10">
        <f t="shared" si="6"/>
        <v>3.9617</v>
      </c>
      <c r="F7" s="10">
        <f t="shared" si="7"/>
        <v>3.9617</v>
      </c>
      <c r="G7" s="10">
        <f t="shared" si="8"/>
        <v>10.392789199999999</v>
      </c>
      <c r="H7" s="10">
        <f t="shared" si="2"/>
        <v>10.1</v>
      </c>
      <c r="I7" s="10">
        <f t="shared" si="9"/>
        <v>17.866799999999998</v>
      </c>
      <c r="J7" s="10">
        <f t="shared" si="3"/>
        <v>17.866799999999998</v>
      </c>
      <c r="K7" s="58">
        <f t="shared" si="10"/>
        <v>38.904589199999997</v>
      </c>
      <c r="N7" s="17">
        <v>5</v>
      </c>
      <c r="O7" s="10">
        <v>10.392789199999999</v>
      </c>
      <c r="P7" s="10">
        <f t="shared" si="0"/>
        <v>55.555555555555557</v>
      </c>
      <c r="Q7" s="10">
        <f t="shared" si="1"/>
        <v>1.2311222357529032</v>
      </c>
      <c r="R7" s="58" t="str">
        <f t="shared" si="4"/>
        <v>1.2311222357529,55.5555555555556</v>
      </c>
    </row>
    <row r="8" spans="1:18" x14ac:dyDescent="0.25">
      <c r="A8" s="17">
        <v>6</v>
      </c>
      <c r="B8" s="10">
        <v>6</v>
      </c>
      <c r="C8" s="10">
        <f t="shared" si="5"/>
        <v>1</v>
      </c>
      <c r="D8" s="11">
        <v>1.9064000000000001</v>
      </c>
      <c r="E8" s="10">
        <f t="shared" si="6"/>
        <v>3.9264000000000001</v>
      </c>
      <c r="F8" s="10">
        <f t="shared" si="7"/>
        <v>3.9264000000000001</v>
      </c>
      <c r="G8" s="10">
        <f t="shared" si="8"/>
        <v>14.3191892</v>
      </c>
      <c r="H8" s="10">
        <f t="shared" si="2"/>
        <v>11.438400000000001</v>
      </c>
      <c r="I8" s="10">
        <f t="shared" si="9"/>
        <v>21.538400000000003</v>
      </c>
      <c r="J8" s="10">
        <f t="shared" si="3"/>
        <v>21.538400000000003</v>
      </c>
      <c r="K8" s="58">
        <f t="shared" si="10"/>
        <v>60.4429892</v>
      </c>
      <c r="N8" s="17">
        <v>6</v>
      </c>
      <c r="O8" s="10">
        <v>14.3191892</v>
      </c>
      <c r="P8" s="10">
        <f t="shared" si="0"/>
        <v>66.666666666666657</v>
      </c>
      <c r="Q8" s="10">
        <f t="shared" si="1"/>
        <v>1.6962407187160911</v>
      </c>
      <c r="R8" s="58" t="str">
        <f t="shared" si="4"/>
        <v>1.69624071871609,66.6666666666667</v>
      </c>
    </row>
    <row r="9" spans="1:18" x14ac:dyDescent="0.25">
      <c r="A9" s="17">
        <v>7</v>
      </c>
      <c r="B9" s="10">
        <v>7</v>
      </c>
      <c r="C9" s="10">
        <f t="shared" si="5"/>
        <v>1</v>
      </c>
      <c r="D9" s="11">
        <v>1.5911999999999999</v>
      </c>
      <c r="E9" s="10">
        <f t="shared" si="6"/>
        <v>3.4976000000000003</v>
      </c>
      <c r="F9" s="10">
        <f t="shared" si="7"/>
        <v>3.4976000000000003</v>
      </c>
      <c r="G9" s="10">
        <f t="shared" si="8"/>
        <v>17.816789200000002</v>
      </c>
      <c r="H9" s="10">
        <f t="shared" si="2"/>
        <v>11.138399999999999</v>
      </c>
      <c r="I9" s="10">
        <f t="shared" si="9"/>
        <v>22.576799999999999</v>
      </c>
      <c r="J9" s="10">
        <f t="shared" si="3"/>
        <v>22.576799999999999</v>
      </c>
      <c r="K9" s="58">
        <f t="shared" si="10"/>
        <v>83.019789199999991</v>
      </c>
      <c r="N9" s="17">
        <v>7</v>
      </c>
      <c r="O9" s="10">
        <v>17.816789200000002</v>
      </c>
      <c r="P9" s="10">
        <f t="shared" si="0"/>
        <v>77.777777777777771</v>
      </c>
      <c r="Q9" s="10">
        <f t="shared" si="1"/>
        <v>2.1105638661315469</v>
      </c>
      <c r="R9" s="58" t="str">
        <f t="shared" si="4"/>
        <v>2.11056386613155,77.7777777777778</v>
      </c>
    </row>
    <row r="10" spans="1:18" x14ac:dyDescent="0.25">
      <c r="A10" s="17">
        <v>8</v>
      </c>
      <c r="B10" s="10">
        <v>8</v>
      </c>
      <c r="C10" s="10">
        <f t="shared" si="5"/>
        <v>1</v>
      </c>
      <c r="D10" s="11">
        <v>1.0555000000000001</v>
      </c>
      <c r="E10" s="10">
        <f t="shared" si="6"/>
        <v>2.6467000000000001</v>
      </c>
      <c r="F10" s="10">
        <f t="shared" si="7"/>
        <v>2.6467000000000001</v>
      </c>
      <c r="G10" s="10">
        <f t="shared" si="8"/>
        <v>20.463489200000001</v>
      </c>
      <c r="H10" s="10">
        <f t="shared" si="2"/>
        <v>8.4440000000000008</v>
      </c>
      <c r="I10" s="10">
        <f t="shared" si="9"/>
        <v>19.5824</v>
      </c>
      <c r="J10" s="10">
        <f t="shared" si="3"/>
        <v>19.5824</v>
      </c>
      <c r="K10" s="58">
        <f t="shared" si="10"/>
        <v>102.6021892</v>
      </c>
      <c r="N10" s="17">
        <v>8</v>
      </c>
      <c r="O10" s="10">
        <v>20.463489200000001</v>
      </c>
      <c r="P10" s="10">
        <f t="shared" si="0"/>
        <v>88.888888888888886</v>
      </c>
      <c r="Q10" s="10">
        <f t="shared" si="1"/>
        <v>2.4240900195694719</v>
      </c>
      <c r="R10" s="58" t="str">
        <f t="shared" si="4"/>
        <v>2.42409001956947,88.8888888888889</v>
      </c>
    </row>
    <row r="11" spans="1:18" x14ac:dyDescent="0.25">
      <c r="A11" s="17">
        <v>9</v>
      </c>
      <c r="B11" s="10">
        <v>9</v>
      </c>
      <c r="C11" s="10">
        <f t="shared" si="5"/>
        <v>1</v>
      </c>
      <c r="D11" s="11">
        <v>1.4985E-10</v>
      </c>
      <c r="E11" s="10">
        <f t="shared" si="6"/>
        <v>1.05550000014985</v>
      </c>
      <c r="F11" s="10">
        <f t="shared" si="7"/>
        <v>1.05550000014985</v>
      </c>
      <c r="G11" s="10">
        <f t="shared" si="8"/>
        <v>21.51898920014985</v>
      </c>
      <c r="H11" s="10">
        <f t="shared" si="2"/>
        <v>1.3486500000000001E-9</v>
      </c>
      <c r="I11" s="10">
        <f t="shared" si="9"/>
        <v>8.44400000134865</v>
      </c>
      <c r="J11" s="10">
        <f t="shared" si="3"/>
        <v>8.44400000134865</v>
      </c>
      <c r="K11" s="58">
        <f t="shared" si="10"/>
        <v>111.04618920134865</v>
      </c>
      <c r="N11" s="17">
        <v>9</v>
      </c>
      <c r="O11" s="10">
        <v>21.51898920014985</v>
      </c>
      <c r="P11" s="10">
        <f t="shared" si="0"/>
        <v>100</v>
      </c>
      <c r="Q11" s="10">
        <f t="shared" si="1"/>
        <v>2.5491237804795528</v>
      </c>
      <c r="R11" s="58" t="str">
        <f t="shared" si="4"/>
        <v>2.54912378047955,100</v>
      </c>
    </row>
    <row r="12" spans="1:18" x14ac:dyDescent="0.25">
      <c r="A12" s="17">
        <v>10</v>
      </c>
      <c r="B12" s="10">
        <v>10</v>
      </c>
      <c r="C12" s="10">
        <f t="shared" si="5"/>
        <v>1</v>
      </c>
      <c r="D12" s="11">
        <v>2.6526000000000001E-2</v>
      </c>
      <c r="E12" s="10">
        <f t="shared" si="6"/>
        <v>2.6526000149850001E-2</v>
      </c>
      <c r="F12" s="10">
        <f t="shared" si="7"/>
        <v>2.6526000149850001E-2</v>
      </c>
      <c r="G12" s="10">
        <f t="shared" si="8"/>
        <v>21.5455152002997</v>
      </c>
      <c r="H12" s="10">
        <f t="shared" si="2"/>
        <v>0.26526</v>
      </c>
      <c r="I12" s="10">
        <f t="shared" si="9"/>
        <v>0.26526000134865002</v>
      </c>
      <c r="J12" s="10">
        <f t="shared" si="3"/>
        <v>0.26526000134865002</v>
      </c>
      <c r="K12" s="58">
        <f t="shared" si="10"/>
        <v>111.3114492026973</v>
      </c>
      <c r="N12" s="17">
        <v>10</v>
      </c>
      <c r="O12" s="10">
        <v>21.5455152002997</v>
      </c>
      <c r="P12" s="10">
        <f t="shared" si="0"/>
        <v>111.11111111111111</v>
      </c>
      <c r="Q12" s="10">
        <f t="shared" si="1"/>
        <v>2.552266031128692</v>
      </c>
      <c r="R12" s="58" t="str">
        <f t="shared" si="4"/>
        <v>2.55226603112869,111.111111111111</v>
      </c>
    </row>
    <row r="13" spans="1:18" x14ac:dyDescent="0.25">
      <c r="A13" s="17">
        <v>11</v>
      </c>
      <c r="B13" s="10">
        <v>11</v>
      </c>
      <c r="C13" s="10">
        <f t="shared" si="5"/>
        <v>1</v>
      </c>
      <c r="D13" s="11">
        <v>0.10150000000000001</v>
      </c>
      <c r="E13" s="10">
        <f t="shared" si="6"/>
        <v>0.128026</v>
      </c>
      <c r="F13" s="10">
        <f t="shared" si="7"/>
        <v>0.128026</v>
      </c>
      <c r="G13" s="10">
        <f t="shared" si="8"/>
        <v>21.673541200299699</v>
      </c>
      <c r="H13" s="10">
        <f t="shared" si="2"/>
        <v>1.1165</v>
      </c>
      <c r="I13" s="10">
        <f t="shared" si="9"/>
        <v>1.3817600000000001</v>
      </c>
      <c r="J13" s="10">
        <f t="shared" si="3"/>
        <v>1.3817600000000001</v>
      </c>
      <c r="K13" s="58">
        <f t="shared" si="10"/>
        <v>112.6932092026973</v>
      </c>
      <c r="N13" s="17">
        <v>11</v>
      </c>
      <c r="O13" s="10">
        <v>21.673541200299699</v>
      </c>
      <c r="P13" s="10">
        <f t="shared" si="0"/>
        <v>122.22222222222221</v>
      </c>
      <c r="Q13" s="10">
        <f t="shared" si="1"/>
        <v>2.5674318978004127</v>
      </c>
      <c r="R13" s="58" t="str">
        <f t="shared" si="4"/>
        <v>2.56743189780041,122.222222222222</v>
      </c>
    </row>
    <row r="14" spans="1:18" x14ac:dyDescent="0.25">
      <c r="A14" s="17">
        <v>12</v>
      </c>
      <c r="B14" s="10">
        <v>12</v>
      </c>
      <c r="C14" s="10">
        <f t="shared" si="5"/>
        <v>1</v>
      </c>
      <c r="D14" s="11">
        <v>0.35270000000000001</v>
      </c>
      <c r="E14" s="10">
        <f t="shared" si="6"/>
        <v>0.45420000000000005</v>
      </c>
      <c r="F14" s="10">
        <f t="shared" si="7"/>
        <v>0.45420000000000005</v>
      </c>
      <c r="G14" s="10">
        <f t="shared" si="8"/>
        <v>22.127741200299699</v>
      </c>
      <c r="H14" s="10">
        <f t="shared" si="2"/>
        <v>4.2324000000000002</v>
      </c>
      <c r="I14" s="10">
        <f t="shared" si="9"/>
        <v>5.3489000000000004</v>
      </c>
      <c r="J14" s="10">
        <f t="shared" si="3"/>
        <v>5.3489000000000004</v>
      </c>
      <c r="K14" s="58">
        <f t="shared" si="10"/>
        <v>118.0421092026973</v>
      </c>
      <c r="N14" s="17">
        <v>12</v>
      </c>
      <c r="O14" s="10">
        <v>22.127741200299699</v>
      </c>
      <c r="P14" s="10">
        <f t="shared" si="0"/>
        <v>133.33333333333331</v>
      </c>
      <c r="Q14" s="10">
        <f t="shared" si="1"/>
        <v>2.621236098840011</v>
      </c>
      <c r="R14" s="58" t="str">
        <f t="shared" si="4"/>
        <v>2.62123609884001,133.333333333333</v>
      </c>
    </row>
    <row r="15" spans="1:18" x14ac:dyDescent="0.25">
      <c r="A15" s="17">
        <v>13</v>
      </c>
      <c r="B15" s="10">
        <v>13</v>
      </c>
      <c r="C15" s="10">
        <f t="shared" si="5"/>
        <v>1</v>
      </c>
      <c r="D15" s="11">
        <v>0.82977999999999996</v>
      </c>
      <c r="E15" s="10">
        <f t="shared" si="6"/>
        <v>1.18248</v>
      </c>
      <c r="F15" s="10">
        <f t="shared" si="7"/>
        <v>1.18248</v>
      </c>
      <c r="G15" s="10">
        <f t="shared" si="8"/>
        <v>23.310221200299701</v>
      </c>
      <c r="H15" s="10">
        <f t="shared" si="2"/>
        <v>10.787139999999999</v>
      </c>
      <c r="I15" s="10">
        <f t="shared" si="9"/>
        <v>15.019539999999999</v>
      </c>
      <c r="J15" s="10">
        <f t="shared" si="3"/>
        <v>15.019539999999999</v>
      </c>
      <c r="K15" s="58">
        <f t="shared" si="10"/>
        <v>133.06164920269731</v>
      </c>
      <c r="N15" s="17">
        <v>13</v>
      </c>
      <c r="O15" s="10">
        <v>23.310221200299701</v>
      </c>
      <c r="P15" s="10">
        <f t="shared" si="0"/>
        <v>144.44444444444443</v>
      </c>
      <c r="Q15" s="10">
        <f t="shared" si="1"/>
        <v>2.7613118180062477</v>
      </c>
      <c r="R15" s="58" t="str">
        <f t="shared" si="4"/>
        <v>2.76131181800625,144.444444444444</v>
      </c>
    </row>
    <row r="16" spans="1:18" x14ac:dyDescent="0.25">
      <c r="A16" s="17">
        <v>14</v>
      </c>
      <c r="B16" s="10">
        <v>14</v>
      </c>
      <c r="C16" s="10">
        <f>B16-B15</f>
        <v>1</v>
      </c>
      <c r="D16" s="11">
        <v>2.0162</v>
      </c>
      <c r="E16" s="10">
        <f>D16+D15</f>
        <v>2.84598</v>
      </c>
      <c r="F16" s="10">
        <f t="shared" si="7"/>
        <v>2.84598</v>
      </c>
      <c r="G16" s="10">
        <f>G15+F16</f>
        <v>26.156201200299702</v>
      </c>
      <c r="H16" s="10">
        <f t="shared" si="2"/>
        <v>28.226800000000001</v>
      </c>
      <c r="I16" s="10">
        <f>H16+H15</f>
        <v>39.013939999999998</v>
      </c>
      <c r="J16" s="10">
        <f t="shared" si="3"/>
        <v>39.013939999999998</v>
      </c>
      <c r="K16" s="58">
        <f>K15+J16</f>
        <v>172.0755892026973</v>
      </c>
      <c r="N16" s="17">
        <v>14</v>
      </c>
      <c r="O16" s="10">
        <v>26.156201200299702</v>
      </c>
      <c r="P16" s="10">
        <f t="shared" si="0"/>
        <v>155.55555555555554</v>
      </c>
      <c r="Q16" s="10">
        <f t="shared" si="1"/>
        <v>3.0984445350354788</v>
      </c>
      <c r="R16" s="58" t="str">
        <f t="shared" si="4"/>
        <v>3.09844453503548,155.555555555556</v>
      </c>
    </row>
    <row r="17" spans="1:21" x14ac:dyDescent="0.25">
      <c r="A17" s="17">
        <v>15</v>
      </c>
      <c r="B17" s="10">
        <v>15</v>
      </c>
      <c r="C17" s="10">
        <f t="shared" si="5"/>
        <v>1</v>
      </c>
      <c r="D17" s="11">
        <v>3.1957</v>
      </c>
      <c r="E17" s="10">
        <f t="shared" ref="E17:E19" si="11">D17+D16</f>
        <v>5.2119</v>
      </c>
      <c r="F17" s="10">
        <f t="shared" si="7"/>
        <v>5.2119</v>
      </c>
      <c r="G17" s="10">
        <f t="shared" ref="G17:G19" si="12">G16+F17</f>
        <v>31.368101200299702</v>
      </c>
      <c r="H17" s="10">
        <f t="shared" si="2"/>
        <v>47.935499999999998</v>
      </c>
      <c r="I17" s="10">
        <f t="shared" ref="I17:I19" si="13">H17+H16</f>
        <v>76.162300000000002</v>
      </c>
      <c r="J17" s="10">
        <f t="shared" si="3"/>
        <v>76.162300000000002</v>
      </c>
      <c r="K17" s="58">
        <f t="shared" ref="K17:K19" si="14">K16+J17</f>
        <v>248.23788920269732</v>
      </c>
      <c r="N17" s="17">
        <v>15</v>
      </c>
      <c r="O17" s="10">
        <v>31.368101200299702</v>
      </c>
      <c r="P17" s="10">
        <f t="shared" si="0"/>
        <v>166.66666666666666</v>
      </c>
      <c r="Q17" s="10">
        <f t="shared" si="1"/>
        <v>3.7158424112976625</v>
      </c>
      <c r="R17" s="58" t="str">
        <f t="shared" si="4"/>
        <v>3.71584241129766,166.666666666667</v>
      </c>
    </row>
    <row r="18" spans="1:21" x14ac:dyDescent="0.25">
      <c r="A18" s="17">
        <v>16</v>
      </c>
      <c r="B18" s="10">
        <v>16</v>
      </c>
      <c r="C18" s="10">
        <f t="shared" si="5"/>
        <v>1</v>
      </c>
      <c r="D18" s="11">
        <v>4.2317999999999998</v>
      </c>
      <c r="E18" s="10">
        <f t="shared" si="11"/>
        <v>7.4275000000000002</v>
      </c>
      <c r="F18" s="10">
        <f t="shared" si="7"/>
        <v>7.4275000000000002</v>
      </c>
      <c r="G18" s="10">
        <f t="shared" si="12"/>
        <v>38.7956012002997</v>
      </c>
      <c r="H18" s="10">
        <f t="shared" si="2"/>
        <v>67.708799999999997</v>
      </c>
      <c r="I18" s="10">
        <f t="shared" si="13"/>
        <v>115.64429999999999</v>
      </c>
      <c r="J18" s="10">
        <f t="shared" si="3"/>
        <v>115.64429999999999</v>
      </c>
      <c r="K18" s="58">
        <f t="shared" si="14"/>
        <v>363.8821892026973</v>
      </c>
      <c r="N18" s="17">
        <v>16</v>
      </c>
      <c r="O18" s="10">
        <v>38.7956012002997</v>
      </c>
      <c r="P18" s="10">
        <f t="shared" si="0"/>
        <v>177.77777777777777</v>
      </c>
      <c r="Q18" s="10">
        <f t="shared" si="1"/>
        <v>4.5956986491259721</v>
      </c>
      <c r="R18" s="58" t="str">
        <f t="shared" si="4"/>
        <v>4.59569864912597,177.777777777778</v>
      </c>
    </row>
    <row r="19" spans="1:21" x14ac:dyDescent="0.25">
      <c r="A19" s="17" t="s">
        <v>154</v>
      </c>
      <c r="B19" s="10">
        <v>16.34</v>
      </c>
      <c r="C19" s="10">
        <f>B19-B17</f>
        <v>1.3399999999999999</v>
      </c>
      <c r="D19" s="11">
        <v>4.6100000000000003</v>
      </c>
      <c r="E19" s="10">
        <f t="shared" si="11"/>
        <v>8.8417999999999992</v>
      </c>
      <c r="F19" s="10">
        <f t="shared" si="7"/>
        <v>11.848011999999997</v>
      </c>
      <c r="G19" s="10">
        <f t="shared" si="12"/>
        <v>50.643613200299697</v>
      </c>
      <c r="H19" s="10">
        <f t="shared" si="2"/>
        <v>75.327400000000011</v>
      </c>
      <c r="I19" s="10">
        <f t="shared" si="13"/>
        <v>143.03620000000001</v>
      </c>
      <c r="J19" s="10">
        <f t="shared" si="3"/>
        <v>191.668508</v>
      </c>
      <c r="K19" s="58">
        <f t="shared" si="14"/>
        <v>555.55069720269728</v>
      </c>
      <c r="N19" s="17">
        <v>16.34</v>
      </c>
      <c r="O19" s="10">
        <v>50.643613200299697</v>
      </c>
      <c r="P19" s="10">
        <f t="shared" si="0"/>
        <v>181.55555555555554</v>
      </c>
      <c r="Q19" s="10">
        <f t="shared" si="1"/>
        <v>5.9992055173945236</v>
      </c>
      <c r="R19" s="58" t="str">
        <f t="shared" si="4"/>
        <v>5.99920551739452,181.555555555556</v>
      </c>
    </row>
    <row r="20" spans="1:21" ht="15.75" thickBot="1" x14ac:dyDescent="0.3">
      <c r="A20" s="19" t="s">
        <v>5</v>
      </c>
      <c r="B20" s="34">
        <v>16.53</v>
      </c>
      <c r="C20" s="34">
        <f>B20-B19</f>
        <v>0.19000000000000128</v>
      </c>
      <c r="D20" s="15">
        <v>4.83</v>
      </c>
      <c r="E20" s="34">
        <f>D20+D19</f>
        <v>9.4400000000000013</v>
      </c>
      <c r="F20" s="34">
        <f t="shared" si="7"/>
        <v>1.7936000000000123</v>
      </c>
      <c r="G20" s="34">
        <f>G19+F20</f>
        <v>52.437213200299709</v>
      </c>
      <c r="H20" s="34">
        <f t="shared" si="2"/>
        <v>79.8399</v>
      </c>
      <c r="I20" s="34">
        <f>H20+H19</f>
        <v>155.16730000000001</v>
      </c>
      <c r="J20" s="34">
        <f t="shared" si="3"/>
        <v>29.4817870000002</v>
      </c>
      <c r="K20" s="59">
        <f>K19+J20</f>
        <v>585.03248420269745</v>
      </c>
      <c r="N20" s="19">
        <v>16.53</v>
      </c>
      <c r="O20" s="34">
        <v>52.437213200299709</v>
      </c>
      <c r="P20" s="34">
        <f t="shared" si="0"/>
        <v>183.66666666666669</v>
      </c>
      <c r="Q20" s="34">
        <f t="shared" si="1"/>
        <v>6.2116740664579861</v>
      </c>
      <c r="R20" s="59" t="str">
        <f t="shared" ref="R20" si="15">CONCATENATE(Q20,",",P20)</f>
        <v>6.21167406645799,183.666666666667</v>
      </c>
    </row>
    <row r="21" spans="1:21" x14ac:dyDescent="0.25">
      <c r="O21" s="4" t="s">
        <v>155</v>
      </c>
      <c r="Q21" s="4" t="s">
        <v>156</v>
      </c>
      <c r="T21" s="4" t="s">
        <v>159</v>
      </c>
    </row>
    <row r="22" spans="1:21" x14ac:dyDescent="0.25">
      <c r="N22" s="4">
        <v>18</v>
      </c>
      <c r="O22" s="4">
        <v>200</v>
      </c>
      <c r="Q22" s="4">
        <v>422.08600000000001</v>
      </c>
      <c r="R22" s="4">
        <v>50</v>
      </c>
      <c r="T22" s="4">
        <v>2876.7204000000002</v>
      </c>
      <c r="U22" s="4">
        <v>50</v>
      </c>
    </row>
    <row r="23" spans="1:21" x14ac:dyDescent="0.25">
      <c r="O23" s="4">
        <v>11.111111111111111</v>
      </c>
      <c r="R23" s="4">
        <v>0.11845927133333017</v>
      </c>
      <c r="U23" s="4">
        <v>1.7380903615102809E-2</v>
      </c>
    </row>
    <row r="24" spans="1:21" ht="15.75" thickBot="1" x14ac:dyDescent="0.3"/>
    <row r="25" spans="1:21" ht="15.75" thickBot="1" x14ac:dyDescent="0.3">
      <c r="N25" s="5" t="s">
        <v>4</v>
      </c>
      <c r="O25" s="5" t="s">
        <v>153</v>
      </c>
      <c r="P25" s="5" t="s">
        <v>155</v>
      </c>
      <c r="Q25" s="5" t="s">
        <v>159</v>
      </c>
      <c r="R25" s="5" t="s">
        <v>157</v>
      </c>
    </row>
    <row r="26" spans="1:21" x14ac:dyDescent="0.25">
      <c r="N26" s="42">
        <v>0.68200000000000005</v>
      </c>
      <c r="O26" s="51">
        <v>0</v>
      </c>
      <c r="P26" s="51">
        <f>N26*$O$23</f>
        <v>7.5777777777777784</v>
      </c>
      <c r="Q26" s="51">
        <f>O26*$U$23</f>
        <v>0</v>
      </c>
      <c r="R26" s="43" t="str">
        <f>CONCATENATE(Q26,",",P26)</f>
        <v>0,7.57777777777778</v>
      </c>
    </row>
    <row r="27" spans="1:21" x14ac:dyDescent="0.25">
      <c r="N27" s="17">
        <v>1</v>
      </c>
      <c r="O27" s="10">
        <v>-1.1927508000000002</v>
      </c>
      <c r="P27" s="10">
        <f t="shared" ref="P27:P43" si="16">N27*$O$23</f>
        <v>11.111111111111111</v>
      </c>
      <c r="Q27" s="10">
        <f t="shared" ref="Q27:Q43" si="17">O27*$U$23</f>
        <v>-2.0731086691636771E-2</v>
      </c>
      <c r="R27" s="58" t="str">
        <f t="shared" ref="R27:R43" si="18">CONCATENATE(Q27,",",P27)</f>
        <v>-0.0207310866916368,11.1111111111111</v>
      </c>
    </row>
    <row r="28" spans="1:21" x14ac:dyDescent="0.25">
      <c r="N28" s="17">
        <v>2</v>
      </c>
      <c r="O28" s="10">
        <v>1.1849892</v>
      </c>
      <c r="P28" s="10">
        <f t="shared" si="16"/>
        <v>22.222222222222221</v>
      </c>
      <c r="Q28" s="10">
        <f t="shared" si="17"/>
        <v>2.0596183070137785E-2</v>
      </c>
      <c r="R28" s="58" t="str">
        <f t="shared" si="18"/>
        <v>0.0205961830701378,22.2222222222222</v>
      </c>
    </row>
    <row r="29" spans="1:21" x14ac:dyDescent="0.25">
      <c r="N29" s="17">
        <v>3</v>
      </c>
      <c r="O29" s="10">
        <v>8.3143892000000008</v>
      </c>
      <c r="P29" s="10">
        <f t="shared" si="16"/>
        <v>33.333333333333329</v>
      </c>
      <c r="Q29" s="10">
        <f t="shared" si="17"/>
        <v>0.14451159730365176</v>
      </c>
      <c r="R29" s="58" t="str">
        <f t="shared" si="18"/>
        <v>0.144511597303652,33.3333333333333</v>
      </c>
    </row>
    <row r="30" spans="1:21" x14ac:dyDescent="0.25">
      <c r="N30" s="17">
        <v>4</v>
      </c>
      <c r="O30" s="10">
        <v>21.037789199999999</v>
      </c>
      <c r="P30" s="10">
        <f t="shared" si="16"/>
        <v>44.444444444444443</v>
      </c>
      <c r="Q30" s="10">
        <f t="shared" si="17"/>
        <v>0.36565578636005081</v>
      </c>
      <c r="R30" s="58" t="str">
        <f t="shared" si="18"/>
        <v>0.365655786360051,44.4444444444444</v>
      </c>
    </row>
    <row r="31" spans="1:21" x14ac:dyDescent="0.25">
      <c r="N31" s="17">
        <v>5</v>
      </c>
      <c r="O31" s="10">
        <v>38.904589199999997</v>
      </c>
      <c r="P31" s="10">
        <f t="shared" si="16"/>
        <v>55.555555555555557</v>
      </c>
      <c r="Q31" s="10">
        <f t="shared" si="17"/>
        <v>0.67619691507036961</v>
      </c>
      <c r="R31" s="58" t="str">
        <f t="shared" si="18"/>
        <v>0.67619691507037,55.5555555555556</v>
      </c>
    </row>
    <row r="32" spans="1:21" x14ac:dyDescent="0.25">
      <c r="N32" s="17">
        <v>6</v>
      </c>
      <c r="O32" s="10">
        <v>60.4429892</v>
      </c>
      <c r="P32" s="10">
        <f t="shared" si="16"/>
        <v>66.666666666666657</v>
      </c>
      <c r="Q32" s="10">
        <f t="shared" si="17"/>
        <v>1.0505537694939</v>
      </c>
      <c r="R32" s="58" t="str">
        <f t="shared" si="18"/>
        <v>1.0505537694939,66.6666666666667</v>
      </c>
    </row>
    <row r="33" spans="14:18" x14ac:dyDescent="0.25">
      <c r="N33" s="17">
        <v>7</v>
      </c>
      <c r="O33" s="10">
        <v>83.019789199999991</v>
      </c>
      <c r="P33" s="10">
        <f t="shared" si="16"/>
        <v>77.777777777777771</v>
      </c>
      <c r="Q33" s="10">
        <f t="shared" si="17"/>
        <v>1.442958954231353</v>
      </c>
      <c r="R33" s="58" t="str">
        <f t="shared" si="18"/>
        <v>1.44295895423135,77.7777777777778</v>
      </c>
    </row>
    <row r="34" spans="14:18" x14ac:dyDescent="0.25">
      <c r="N34" s="17">
        <v>8</v>
      </c>
      <c r="O34" s="10">
        <v>102.6021892</v>
      </c>
      <c r="P34" s="10">
        <f t="shared" si="16"/>
        <v>88.888888888888886</v>
      </c>
      <c r="Q34" s="10">
        <f t="shared" si="17"/>
        <v>1.7833187611837422</v>
      </c>
      <c r="R34" s="58" t="str">
        <f t="shared" si="18"/>
        <v>1.78331876118374,88.8888888888889</v>
      </c>
    </row>
    <row r="35" spans="14:18" x14ac:dyDescent="0.25">
      <c r="N35" s="17">
        <v>9</v>
      </c>
      <c r="O35" s="10">
        <v>111.04618920134865</v>
      </c>
      <c r="P35" s="10">
        <f t="shared" si="16"/>
        <v>100</v>
      </c>
      <c r="Q35" s="10">
        <f t="shared" si="17"/>
        <v>1.9300831113331112</v>
      </c>
      <c r="R35" s="58" t="str">
        <f t="shared" si="18"/>
        <v>1.93008311133311,100</v>
      </c>
    </row>
    <row r="36" spans="14:18" x14ac:dyDescent="0.25">
      <c r="N36" s="17">
        <v>10</v>
      </c>
      <c r="O36" s="10">
        <v>111.3114492026973</v>
      </c>
      <c r="P36" s="10">
        <f t="shared" si="16"/>
        <v>111.11111111111111</v>
      </c>
      <c r="Q36" s="10">
        <f t="shared" si="17"/>
        <v>1.9346935698494943</v>
      </c>
      <c r="R36" s="58" t="str">
        <f t="shared" si="18"/>
        <v>1.93469356984949,111.111111111111</v>
      </c>
    </row>
    <row r="37" spans="14:18" x14ac:dyDescent="0.25">
      <c r="N37" s="17">
        <v>11</v>
      </c>
      <c r="O37" s="10">
        <v>112.6932092026973</v>
      </c>
      <c r="P37" s="10">
        <f t="shared" si="16"/>
        <v>122.22222222222221</v>
      </c>
      <c r="Q37" s="10">
        <f t="shared" si="17"/>
        <v>1.9587098072286986</v>
      </c>
      <c r="R37" s="58" t="str">
        <f t="shared" si="18"/>
        <v>1.9587098072287,122.222222222222</v>
      </c>
    </row>
    <row r="38" spans="14:18" x14ac:dyDescent="0.25">
      <c r="N38" s="17">
        <v>12</v>
      </c>
      <c r="O38" s="10">
        <v>118.0421092026973</v>
      </c>
      <c r="P38" s="10">
        <f t="shared" si="16"/>
        <v>133.33333333333331</v>
      </c>
      <c r="Q38" s="10">
        <f t="shared" si="17"/>
        <v>2.0516785225755223</v>
      </c>
      <c r="R38" s="58" t="str">
        <f t="shared" si="18"/>
        <v>2.05167852257552,133.333333333333</v>
      </c>
    </row>
    <row r="39" spans="14:18" x14ac:dyDescent="0.25">
      <c r="N39" s="17">
        <v>13</v>
      </c>
      <c r="O39" s="10">
        <v>133.06164920269731</v>
      </c>
      <c r="P39" s="10">
        <f t="shared" si="16"/>
        <v>144.44444444444443</v>
      </c>
      <c r="Q39" s="10">
        <f t="shared" si="17"/>
        <v>2.3127316996587033</v>
      </c>
      <c r="R39" s="58" t="str">
        <f t="shared" si="18"/>
        <v>2.3127316996587,144.444444444444</v>
      </c>
    </row>
    <row r="40" spans="14:18" x14ac:dyDescent="0.25">
      <c r="N40" s="17">
        <v>14</v>
      </c>
      <c r="O40" s="10">
        <v>172.0755892026973</v>
      </c>
      <c r="P40" s="10">
        <f t="shared" si="16"/>
        <v>155.55555555555554</v>
      </c>
      <c r="Q40" s="10">
        <f t="shared" si="17"/>
        <v>2.9908292304441075</v>
      </c>
      <c r="R40" s="58" t="str">
        <f t="shared" si="18"/>
        <v>2.99082923044411,155.555555555556</v>
      </c>
    </row>
    <row r="41" spans="14:18" x14ac:dyDescent="0.25">
      <c r="N41" s="17">
        <v>15</v>
      </c>
      <c r="O41" s="10">
        <v>248.23788920269732</v>
      </c>
      <c r="P41" s="10">
        <f t="shared" si="16"/>
        <v>166.66666666666666</v>
      </c>
      <c r="Q41" s="10">
        <f t="shared" si="17"/>
        <v>4.3145988258486518</v>
      </c>
      <c r="R41" s="58" t="str">
        <f t="shared" si="18"/>
        <v>4.31459882584865,166.666666666667</v>
      </c>
    </row>
    <row r="42" spans="14:18" x14ac:dyDescent="0.25">
      <c r="N42" s="17">
        <v>16</v>
      </c>
      <c r="O42" s="10">
        <v>363.8821892026973</v>
      </c>
      <c r="P42" s="10">
        <f t="shared" si="16"/>
        <v>177.77777777777777</v>
      </c>
      <c r="Q42" s="10">
        <f t="shared" si="17"/>
        <v>6.3246012577846855</v>
      </c>
      <c r="R42" s="58" t="str">
        <f t="shared" si="18"/>
        <v>6.32460125778469,177.777777777778</v>
      </c>
    </row>
    <row r="43" spans="14:18" x14ac:dyDescent="0.25">
      <c r="N43" s="17">
        <v>16.34</v>
      </c>
      <c r="O43" s="10">
        <v>555.55069720269728</v>
      </c>
      <c r="P43" s="10">
        <f t="shared" si="16"/>
        <v>181.55555555555554</v>
      </c>
      <c r="Q43" s="10">
        <f t="shared" si="17"/>
        <v>9.655973121383246</v>
      </c>
      <c r="R43" s="58" t="str">
        <f t="shared" si="18"/>
        <v>9.65597312138325,181.555555555556</v>
      </c>
    </row>
    <row r="44" spans="14:18" ht="15.75" thickBot="1" x14ac:dyDescent="0.3">
      <c r="N44" s="19">
        <v>16.53</v>
      </c>
      <c r="O44" s="34">
        <v>585.03248420269745</v>
      </c>
      <c r="P44" s="34">
        <f t="shared" ref="P44" si="19">N44*$O$23</f>
        <v>183.66666666666669</v>
      </c>
      <c r="Q44" s="34">
        <f t="shared" ref="Q44" si="20">O44*$U$23</f>
        <v>10.168393219631241</v>
      </c>
      <c r="R44" s="59" t="str">
        <f t="shared" ref="R44" si="21">CONCATENATE(Q44,",",P44)</f>
        <v>10.1683932196312,183.666666666667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65E6-4BF2-427D-B358-5091135EE456}">
  <dimension ref="A1:Z28"/>
  <sheetViews>
    <sheetView tabSelected="1" zoomScaleNormal="100" workbookViewId="0">
      <selection activeCell="AA30" sqref="AA30"/>
    </sheetView>
  </sheetViews>
  <sheetFormatPr defaultRowHeight="15" x14ac:dyDescent="0.25"/>
  <cols>
    <col min="1" max="4" width="9.140625" style="4"/>
    <col min="5" max="5" width="9.140625" style="4" customWidth="1"/>
    <col min="6" max="19" width="9.140625" style="4"/>
    <col min="20" max="20" width="12.5703125" style="4" customWidth="1"/>
    <col min="21" max="22" width="9.140625" style="4"/>
    <col min="23" max="23" width="9.140625" style="4" customWidth="1"/>
    <col min="24" max="24" width="11.7109375" style="4" customWidth="1"/>
    <col min="25" max="16384" width="9.140625" style="4"/>
  </cols>
  <sheetData>
    <row r="1" spans="1:26" ht="18" thickBot="1" x14ac:dyDescent="0.35">
      <c r="A1" s="5" t="s">
        <v>8</v>
      </c>
      <c r="B1" s="5" t="s">
        <v>4</v>
      </c>
      <c r="C1" s="5" t="s">
        <v>102</v>
      </c>
      <c r="D1" s="5" t="s">
        <v>14</v>
      </c>
      <c r="E1" s="5" t="s">
        <v>160</v>
      </c>
      <c r="F1" s="5" t="s">
        <v>161</v>
      </c>
      <c r="G1" s="5" t="s">
        <v>162</v>
      </c>
      <c r="H1" s="5" t="s">
        <v>163</v>
      </c>
      <c r="I1" s="5" t="s">
        <v>164</v>
      </c>
      <c r="J1" s="5" t="s">
        <v>165</v>
      </c>
      <c r="N1" s="68" t="s">
        <v>166</v>
      </c>
      <c r="R1" s="68" t="s">
        <v>168</v>
      </c>
      <c r="W1" s="68" t="s">
        <v>169</v>
      </c>
    </row>
    <row r="2" spans="1:26" ht="18" thickBot="1" x14ac:dyDescent="0.35">
      <c r="A2" s="42">
        <v>0</v>
      </c>
      <c r="B2" s="51">
        <v>0</v>
      </c>
      <c r="C2" s="51">
        <v>1549.9374600000001</v>
      </c>
      <c r="D2" s="51">
        <v>0</v>
      </c>
      <c r="E2" s="51">
        <v>0</v>
      </c>
      <c r="F2" s="51">
        <f t="shared" ref="F2:F3" si="0">C2/N17*0.5</f>
        <v>0.38692834896254091</v>
      </c>
      <c r="G2" s="51">
        <v>0</v>
      </c>
      <c r="H2" s="51">
        <v>0</v>
      </c>
      <c r="I2" s="51">
        <v>0</v>
      </c>
      <c r="J2" s="43">
        <f>G2/F2</f>
        <v>0</v>
      </c>
      <c r="M2" s="5" t="s">
        <v>8</v>
      </c>
      <c r="N2" s="5" t="s">
        <v>170</v>
      </c>
      <c r="O2" s="5" t="s">
        <v>167</v>
      </c>
      <c r="Q2" s="5" t="s">
        <v>8</v>
      </c>
      <c r="R2" s="5" t="s">
        <v>170</v>
      </c>
      <c r="S2" s="5" t="s">
        <v>38</v>
      </c>
      <c r="T2" s="5" t="s">
        <v>160</v>
      </c>
      <c r="V2" s="5" t="s">
        <v>8</v>
      </c>
      <c r="W2" s="5" t="s">
        <v>170</v>
      </c>
      <c r="X2" s="5" t="s">
        <v>38</v>
      </c>
      <c r="Y2" s="5" t="s">
        <v>167</v>
      </c>
      <c r="Z2" s="5" t="s">
        <v>52</v>
      </c>
    </row>
    <row r="3" spans="1:26" x14ac:dyDescent="0.25">
      <c r="A3" s="17">
        <v>1</v>
      </c>
      <c r="B3" s="10">
        <v>1</v>
      </c>
      <c r="C3" s="10">
        <v>2724.9839499999998</v>
      </c>
      <c r="D3" s="10">
        <v>2137.460705</v>
      </c>
      <c r="E3" s="51">
        <v>27.8445514</v>
      </c>
      <c r="F3" s="51">
        <f t="shared" si="0"/>
        <v>0.51682030513022936</v>
      </c>
      <c r="G3" s="51">
        <f t="shared" ref="G3:G13" si="1">Z4/X18*0.5</f>
        <v>0.41552544597777341</v>
      </c>
      <c r="H3" s="51">
        <f t="shared" ref="H3:H13" si="2">E3/S18*0.5</f>
        <v>0.94260498984427898</v>
      </c>
      <c r="I3" s="51">
        <f t="shared" ref="I3:I13" si="3">G3/H3</f>
        <v>0.44082669883427988</v>
      </c>
      <c r="J3" s="43">
        <f t="shared" ref="J3:J13" si="4">G3/F3</f>
        <v>0.80400371628794365</v>
      </c>
      <c r="M3" s="42">
        <v>0</v>
      </c>
      <c r="N3" s="51">
        <v>12.2</v>
      </c>
      <c r="O3" s="43">
        <v>164.17</v>
      </c>
      <c r="Q3" s="42">
        <v>0</v>
      </c>
      <c r="R3" s="51">
        <v>12.2</v>
      </c>
      <c r="S3" s="51">
        <v>0</v>
      </c>
      <c r="T3" s="43">
        <v>0</v>
      </c>
      <c r="V3" s="42">
        <v>0</v>
      </c>
      <c r="W3" s="51">
        <v>12.2</v>
      </c>
      <c r="X3" s="51">
        <v>0</v>
      </c>
      <c r="Y3" s="51">
        <v>164.17</v>
      </c>
      <c r="Z3" s="43">
        <v>0</v>
      </c>
    </row>
    <row r="4" spans="1:26" x14ac:dyDescent="0.25">
      <c r="A4" s="17">
        <v>2</v>
      </c>
      <c r="B4" s="10">
        <v>2</v>
      </c>
      <c r="C4" s="10">
        <v>3134.5440899999999</v>
      </c>
      <c r="D4" s="10">
        <v>5067.224725</v>
      </c>
      <c r="E4" s="51">
        <v>58.184055299999997</v>
      </c>
      <c r="F4" s="51">
        <f>C4/N19*0.5</f>
        <v>0.55198980323905067</v>
      </c>
      <c r="G4" s="51">
        <f t="shared" si="1"/>
        <v>0.45732053945902901</v>
      </c>
      <c r="H4" s="51">
        <f t="shared" si="2"/>
        <v>0.93603692567567565</v>
      </c>
      <c r="I4" s="51">
        <f t="shared" si="3"/>
        <v>0.48857104555882069</v>
      </c>
      <c r="J4" s="43">
        <f t="shared" si="4"/>
        <v>0.82849454242722098</v>
      </c>
      <c r="M4" s="17">
        <v>1</v>
      </c>
      <c r="N4" s="10">
        <v>14.77</v>
      </c>
      <c r="O4" s="69">
        <v>178.49</v>
      </c>
      <c r="Q4" s="17">
        <v>1</v>
      </c>
      <c r="R4" s="10">
        <v>14.77</v>
      </c>
      <c r="S4" s="10">
        <v>1</v>
      </c>
      <c r="T4" s="69">
        <v>27.8445514</v>
      </c>
      <c r="V4" s="17">
        <v>1</v>
      </c>
      <c r="W4" s="10">
        <v>14.77</v>
      </c>
      <c r="X4" s="10">
        <v>1</v>
      </c>
      <c r="Y4" s="10">
        <v>178.49</v>
      </c>
      <c r="Z4" s="69">
        <v>2190.8972226249998</v>
      </c>
    </row>
    <row r="5" spans="1:26" x14ac:dyDescent="0.25">
      <c r="A5" s="17">
        <v>3</v>
      </c>
      <c r="B5" s="51">
        <v>3</v>
      </c>
      <c r="C5" s="10">
        <v>3414.3618900000001</v>
      </c>
      <c r="D5" s="10">
        <v>8341.6777149999998</v>
      </c>
      <c r="E5" s="51">
        <v>89.627240200000003</v>
      </c>
      <c r="F5" s="51">
        <f t="shared" ref="F5:F13" si="5">C5/N20*0.5</f>
        <v>0.57898011643015845</v>
      </c>
      <c r="G5" s="51">
        <f t="shared" si="1"/>
        <v>0.48329256754326216</v>
      </c>
      <c r="H5" s="51">
        <f t="shared" si="2"/>
        <v>0.93889838885397015</v>
      </c>
      <c r="I5" s="51">
        <f t="shared" si="3"/>
        <v>0.51474427188353622</v>
      </c>
      <c r="J5" s="43">
        <f t="shared" si="4"/>
        <v>0.83473085487480825</v>
      </c>
      <c r="M5" s="17">
        <v>2</v>
      </c>
      <c r="N5" s="10">
        <v>15.54</v>
      </c>
      <c r="O5" s="69">
        <v>182.71</v>
      </c>
      <c r="Q5" s="17">
        <v>2</v>
      </c>
      <c r="R5" s="10">
        <v>15.54</v>
      </c>
      <c r="S5" s="10">
        <v>2</v>
      </c>
      <c r="T5" s="69">
        <v>58.184055299999997</v>
      </c>
      <c r="V5" s="17">
        <v>2</v>
      </c>
      <c r="W5" s="10">
        <v>15.54</v>
      </c>
      <c r="X5" s="10">
        <v>2</v>
      </c>
      <c r="Y5" s="10">
        <v>182.71</v>
      </c>
      <c r="Z5" s="69">
        <v>5193.9053431249995</v>
      </c>
    </row>
    <row r="6" spans="1:26" x14ac:dyDescent="0.25">
      <c r="A6" s="17">
        <v>4</v>
      </c>
      <c r="B6" s="10">
        <v>4</v>
      </c>
      <c r="C6" s="10">
        <v>3627.0432099999998</v>
      </c>
      <c r="D6" s="10">
        <v>11862.380265</v>
      </c>
      <c r="E6" s="51">
        <v>121.51873000000001</v>
      </c>
      <c r="F6" s="51">
        <f t="shared" si="5"/>
        <v>0.60892392990491029</v>
      </c>
      <c r="G6" s="51">
        <f t="shared" si="1"/>
        <v>0.51032404086075167</v>
      </c>
      <c r="H6" s="51">
        <f t="shared" si="2"/>
        <v>0.94936507812500004</v>
      </c>
      <c r="I6" s="51">
        <f t="shared" si="3"/>
        <v>0.53754246139814177</v>
      </c>
      <c r="J6" s="43">
        <f t="shared" si="4"/>
        <v>0.83807519428649158</v>
      </c>
      <c r="M6" s="17">
        <v>3</v>
      </c>
      <c r="N6" s="10">
        <v>15.91</v>
      </c>
      <c r="O6" s="69">
        <v>185.33</v>
      </c>
      <c r="Q6" s="17">
        <v>3</v>
      </c>
      <c r="R6" s="10">
        <v>15.91</v>
      </c>
      <c r="S6" s="10">
        <v>3</v>
      </c>
      <c r="T6" s="69">
        <v>89.627240200000003</v>
      </c>
      <c r="V6" s="17">
        <v>3</v>
      </c>
      <c r="W6" s="10">
        <v>15.91</v>
      </c>
      <c r="X6" s="10">
        <v>3</v>
      </c>
      <c r="Y6" s="10">
        <v>185.33</v>
      </c>
      <c r="Z6" s="69">
        <v>8550.219657874999</v>
      </c>
    </row>
    <row r="7" spans="1:26" x14ac:dyDescent="0.25">
      <c r="A7" s="17">
        <v>5</v>
      </c>
      <c r="B7" s="10">
        <v>5</v>
      </c>
      <c r="C7" s="10">
        <v>3815.61058</v>
      </c>
      <c r="D7" s="10">
        <v>15583.70716</v>
      </c>
      <c r="E7" s="51">
        <v>153.45824300000001</v>
      </c>
      <c r="F7" s="51">
        <f t="shared" si="5"/>
        <v>0.64383277875269984</v>
      </c>
      <c r="G7" s="51">
        <f t="shared" si="1"/>
        <v>0.53905574510664145</v>
      </c>
      <c r="H7" s="51">
        <f t="shared" si="2"/>
        <v>0.95911401875000002</v>
      </c>
      <c r="I7" s="51">
        <f t="shared" si="3"/>
        <v>0.5620351017381493</v>
      </c>
      <c r="J7" s="43">
        <f t="shared" si="4"/>
        <v>0.83726048579097911</v>
      </c>
      <c r="M7" s="17">
        <v>4</v>
      </c>
      <c r="N7" s="10">
        <v>16</v>
      </c>
      <c r="O7" s="69">
        <v>186.14</v>
      </c>
      <c r="Q7" s="17">
        <v>4</v>
      </c>
      <c r="R7" s="10">
        <v>16</v>
      </c>
      <c r="S7" s="51">
        <v>4</v>
      </c>
      <c r="T7" s="69">
        <v>121.51873000000001</v>
      </c>
      <c r="V7" s="17">
        <v>4</v>
      </c>
      <c r="W7" s="10">
        <v>16</v>
      </c>
      <c r="X7" s="10">
        <v>4</v>
      </c>
      <c r="Y7" s="10">
        <v>186.14</v>
      </c>
      <c r="Z7" s="69">
        <v>12158.939771624999</v>
      </c>
    </row>
    <row r="8" spans="1:26" x14ac:dyDescent="0.25">
      <c r="A8" s="17">
        <v>6</v>
      </c>
      <c r="B8" s="51">
        <v>6</v>
      </c>
      <c r="C8" s="10">
        <v>4006.2673799999998</v>
      </c>
      <c r="D8" s="10">
        <v>19494.646140000001</v>
      </c>
      <c r="E8" s="51">
        <v>185.397752</v>
      </c>
      <c r="F8" s="51">
        <f t="shared" si="5"/>
        <v>0.67494665817564281</v>
      </c>
      <c r="G8" s="51">
        <f t="shared" si="1"/>
        <v>0.56107057359055745</v>
      </c>
      <c r="H8" s="51">
        <f t="shared" si="2"/>
        <v>0.96561329166666665</v>
      </c>
      <c r="I8" s="51">
        <f t="shared" si="3"/>
        <v>0.58105100502721863</v>
      </c>
      <c r="J8" s="43">
        <f t="shared" si="4"/>
        <v>0.831281356525435</v>
      </c>
      <c r="M8" s="17">
        <v>5</v>
      </c>
      <c r="N8" s="10">
        <v>16</v>
      </c>
      <c r="O8" s="69">
        <v>185.2</v>
      </c>
      <c r="Q8" s="17">
        <v>5</v>
      </c>
      <c r="R8" s="10">
        <v>16</v>
      </c>
      <c r="S8" s="10">
        <v>5</v>
      </c>
      <c r="T8" s="69">
        <v>153.45824300000001</v>
      </c>
      <c r="V8" s="17">
        <v>5</v>
      </c>
      <c r="W8" s="10">
        <v>16</v>
      </c>
      <c r="X8" s="10">
        <v>5</v>
      </c>
      <c r="Y8" s="10">
        <v>185.2</v>
      </c>
      <c r="Z8" s="69">
        <v>15973.299838999999</v>
      </c>
    </row>
    <row r="9" spans="1:26" x14ac:dyDescent="0.25">
      <c r="A9" s="17">
        <v>7</v>
      </c>
      <c r="B9" s="10">
        <v>7</v>
      </c>
      <c r="C9" s="10">
        <v>4214.6423800000002</v>
      </c>
      <c r="D9" s="10">
        <v>23605.101020000002</v>
      </c>
      <c r="E9" s="51">
        <v>217.33726999999999</v>
      </c>
      <c r="F9" s="51">
        <f t="shared" si="5"/>
        <v>0.70726868421759215</v>
      </c>
      <c r="G9" s="51">
        <f t="shared" si="1"/>
        <v>0.58003658656188151</v>
      </c>
      <c r="H9" s="51">
        <f t="shared" si="2"/>
        <v>0.97025566964285714</v>
      </c>
      <c r="I9" s="51">
        <f t="shared" si="3"/>
        <v>0.59781829131221464</v>
      </c>
      <c r="J9" s="43">
        <f t="shared" si="4"/>
        <v>0.82010783101974938</v>
      </c>
      <c r="M9" s="17">
        <v>6</v>
      </c>
      <c r="N9" s="10">
        <v>16</v>
      </c>
      <c r="O9" s="69">
        <v>185.49</v>
      </c>
      <c r="Q9" s="17">
        <v>6</v>
      </c>
      <c r="R9" s="10">
        <v>16</v>
      </c>
      <c r="S9" s="10">
        <v>6</v>
      </c>
      <c r="T9" s="69">
        <v>185.397752</v>
      </c>
      <c r="V9" s="17">
        <v>6</v>
      </c>
      <c r="W9" s="10">
        <v>16</v>
      </c>
      <c r="X9" s="10">
        <v>6</v>
      </c>
      <c r="Y9" s="10">
        <v>185.49</v>
      </c>
      <c r="Z9" s="69">
        <v>19982.0122935</v>
      </c>
    </row>
    <row r="10" spans="1:26" x14ac:dyDescent="0.25">
      <c r="A10" s="17">
        <v>8</v>
      </c>
      <c r="B10" s="10">
        <v>8</v>
      </c>
      <c r="C10" s="10">
        <v>4456.9941399999998</v>
      </c>
      <c r="D10" s="10">
        <v>27940.919280000002</v>
      </c>
      <c r="E10" s="51">
        <v>249.27678399999999</v>
      </c>
      <c r="F10" s="51">
        <f t="shared" si="5"/>
        <v>0.74089614806638648</v>
      </c>
      <c r="G10" s="51">
        <f t="shared" si="1"/>
        <v>0.5950998528429039</v>
      </c>
      <c r="H10" s="51">
        <f t="shared" si="2"/>
        <v>0.97373743749999997</v>
      </c>
      <c r="I10" s="51">
        <f t="shared" si="3"/>
        <v>0.6111502237921338</v>
      </c>
      <c r="J10" s="43">
        <f t="shared" si="4"/>
        <v>0.80321628664963873</v>
      </c>
      <c r="M10" s="17">
        <v>7</v>
      </c>
      <c r="N10" s="10">
        <v>16</v>
      </c>
      <c r="O10" s="69">
        <v>186.22</v>
      </c>
      <c r="Q10" s="17">
        <v>7</v>
      </c>
      <c r="R10" s="10">
        <v>16</v>
      </c>
      <c r="S10" s="10">
        <v>7</v>
      </c>
      <c r="T10" s="69">
        <v>217.33726999999999</v>
      </c>
      <c r="V10" s="17">
        <v>7</v>
      </c>
      <c r="W10" s="10">
        <v>16</v>
      </c>
      <c r="X10" s="10">
        <v>7</v>
      </c>
      <c r="Y10" s="10">
        <v>186.22</v>
      </c>
      <c r="Z10" s="69">
        <v>24195.228545499998</v>
      </c>
    </row>
    <row r="11" spans="1:26" x14ac:dyDescent="0.25">
      <c r="A11" s="17">
        <v>9</v>
      </c>
      <c r="B11" s="51">
        <v>9</v>
      </c>
      <c r="C11" s="10">
        <v>4726.9253600000002</v>
      </c>
      <c r="D11" s="10">
        <v>32532.879030000004</v>
      </c>
      <c r="E11" s="51">
        <v>281.216297</v>
      </c>
      <c r="F11" s="51">
        <f t="shared" si="5"/>
        <v>0.79370489226801355</v>
      </c>
      <c r="G11" s="51">
        <f t="shared" si="1"/>
        <v>0.62213433001372387</v>
      </c>
      <c r="H11" s="51">
        <f t="shared" si="2"/>
        <v>0.9764454756944444</v>
      </c>
      <c r="I11" s="51">
        <f t="shared" si="3"/>
        <v>0.63714190448910035</v>
      </c>
      <c r="J11" s="43">
        <f t="shared" si="4"/>
        <v>0.78383582623004078</v>
      </c>
      <c r="M11" s="17">
        <v>8</v>
      </c>
      <c r="N11" s="10">
        <v>16</v>
      </c>
      <c r="O11" s="69">
        <v>187.99</v>
      </c>
      <c r="Q11" s="17">
        <v>8</v>
      </c>
      <c r="R11" s="10">
        <v>16</v>
      </c>
      <c r="S11" s="51">
        <v>8</v>
      </c>
      <c r="T11" s="69">
        <v>249.27678399999999</v>
      </c>
      <c r="V11" s="17">
        <v>8</v>
      </c>
      <c r="W11" s="10">
        <v>16</v>
      </c>
      <c r="X11" s="10">
        <v>8</v>
      </c>
      <c r="Y11" s="10">
        <v>187.99</v>
      </c>
      <c r="Z11" s="69">
        <v>28639.442262</v>
      </c>
    </row>
    <row r="12" spans="1:26" x14ac:dyDescent="0.25">
      <c r="A12" s="17">
        <v>10</v>
      </c>
      <c r="B12" s="10">
        <v>10</v>
      </c>
      <c r="C12" s="10">
        <v>5016.27225</v>
      </c>
      <c r="D12" s="10">
        <v>37404.477835000005</v>
      </c>
      <c r="E12" s="51">
        <v>313.15581100000003</v>
      </c>
      <c r="F12" s="51">
        <f t="shared" si="5"/>
        <v>0.82800817564177054</v>
      </c>
      <c r="G12" s="51">
        <f t="shared" si="1"/>
        <v>0.63285029614005062</v>
      </c>
      <c r="H12" s="51">
        <f t="shared" si="2"/>
        <v>0.97861190937500009</v>
      </c>
      <c r="I12" s="51">
        <f t="shared" si="3"/>
        <v>0.64668158038688339</v>
      </c>
      <c r="J12" s="43">
        <f t="shared" si="4"/>
        <v>0.76430440514617215</v>
      </c>
      <c r="M12" s="17">
        <v>9</v>
      </c>
      <c r="N12" s="10">
        <v>16</v>
      </c>
      <c r="O12" s="69">
        <v>186.11</v>
      </c>
      <c r="Q12" s="17">
        <v>9</v>
      </c>
      <c r="R12" s="10">
        <v>16</v>
      </c>
      <c r="S12" s="10">
        <v>9</v>
      </c>
      <c r="T12" s="69">
        <v>281.216297</v>
      </c>
      <c r="V12" s="17">
        <v>9</v>
      </c>
      <c r="W12" s="10">
        <v>16</v>
      </c>
      <c r="X12" s="10">
        <v>9</v>
      </c>
      <c r="Y12" s="10">
        <v>186.11</v>
      </c>
      <c r="Z12" s="69">
        <v>33346.201005750001</v>
      </c>
    </row>
    <row r="13" spans="1:26" ht="15.75" thickBot="1" x14ac:dyDescent="0.3">
      <c r="A13" s="19">
        <v>11</v>
      </c>
      <c r="B13" s="34">
        <v>11</v>
      </c>
      <c r="C13" s="34">
        <v>5224.0565999999999</v>
      </c>
      <c r="D13" s="34">
        <v>42524.642260000008</v>
      </c>
      <c r="E13" s="56">
        <v>345.09532400000001</v>
      </c>
      <c r="F13" s="56">
        <f t="shared" si="5"/>
        <v>0.86071476116412726</v>
      </c>
      <c r="G13" s="56">
        <f t="shared" si="1"/>
        <v>0.65286475907467278</v>
      </c>
      <c r="H13" s="56">
        <f t="shared" si="2"/>
        <v>0.98038444318181817</v>
      </c>
      <c r="I13" s="56">
        <f t="shared" si="3"/>
        <v>0.66592729374184401</v>
      </c>
      <c r="J13" s="57">
        <f t="shared" si="4"/>
        <v>0.75851465378805072</v>
      </c>
      <c r="M13" s="17">
        <v>10</v>
      </c>
      <c r="N13" s="10">
        <v>16</v>
      </c>
      <c r="O13" s="69">
        <v>189.32</v>
      </c>
      <c r="Q13" s="17">
        <v>10</v>
      </c>
      <c r="R13" s="10">
        <v>16</v>
      </c>
      <c r="S13" s="10">
        <v>10</v>
      </c>
      <c r="T13" s="69">
        <v>313.15581100000003</v>
      </c>
      <c r="V13" s="17">
        <v>10</v>
      </c>
      <c r="W13" s="10">
        <v>16</v>
      </c>
      <c r="X13" s="10">
        <v>10</v>
      </c>
      <c r="Y13" s="10">
        <v>189.32</v>
      </c>
      <c r="Z13" s="69">
        <v>38339.589780875001</v>
      </c>
    </row>
    <row r="14" spans="1:26" ht="15.75" thickBot="1" x14ac:dyDescent="0.3">
      <c r="M14" s="19">
        <v>11</v>
      </c>
      <c r="N14" s="34">
        <v>16</v>
      </c>
      <c r="O14" s="70">
        <v>189.67</v>
      </c>
      <c r="Q14" s="19">
        <v>11</v>
      </c>
      <c r="R14" s="34">
        <v>16</v>
      </c>
      <c r="S14" s="34">
        <v>11</v>
      </c>
      <c r="T14" s="70">
        <v>345.09532400000001</v>
      </c>
      <c r="V14" s="19">
        <v>11</v>
      </c>
      <c r="W14" s="34">
        <v>16</v>
      </c>
      <c r="X14" s="34">
        <v>11</v>
      </c>
      <c r="Y14" s="34">
        <v>189.67</v>
      </c>
      <c r="Z14" s="70">
        <v>43587.758316500003</v>
      </c>
    </row>
    <row r="15" spans="1:26" ht="15.75" thickBot="1" x14ac:dyDescent="0.3"/>
    <row r="16" spans="1:26" ht="18" thickBot="1" x14ac:dyDescent="0.35">
      <c r="M16" s="5" t="s">
        <v>8</v>
      </c>
      <c r="N16" s="5" t="s">
        <v>172</v>
      </c>
      <c r="R16" s="5" t="s">
        <v>8</v>
      </c>
      <c r="S16" s="5" t="s">
        <v>171</v>
      </c>
      <c r="W16" s="5" t="s">
        <v>8</v>
      </c>
      <c r="X16" s="5" t="s">
        <v>173</v>
      </c>
    </row>
    <row r="17" spans="13:24" x14ac:dyDescent="0.25">
      <c r="M17" s="42">
        <v>0</v>
      </c>
      <c r="N17" s="43">
        <f>O3*N3</f>
        <v>2002.8739999999998</v>
      </c>
      <c r="R17" s="42">
        <v>0</v>
      </c>
      <c r="S17" s="43">
        <f t="shared" ref="S17:S28" si="6">R3*S3</f>
        <v>0</v>
      </c>
      <c r="W17" s="42">
        <v>0</v>
      </c>
      <c r="X17" s="43">
        <f t="shared" ref="X17:X28" si="7">Y3*W3*X3</f>
        <v>0</v>
      </c>
    </row>
    <row r="18" spans="13:24" x14ac:dyDescent="0.25">
      <c r="M18" s="17">
        <v>1</v>
      </c>
      <c r="N18" s="69">
        <f t="shared" ref="N18:N28" si="8">O4*N4</f>
        <v>2636.2973000000002</v>
      </c>
      <c r="R18" s="17">
        <v>1</v>
      </c>
      <c r="S18" s="69">
        <f t="shared" si="6"/>
        <v>14.77</v>
      </c>
      <c r="W18" s="17">
        <v>1</v>
      </c>
      <c r="X18" s="69">
        <f t="shared" si="7"/>
        <v>2636.2973000000002</v>
      </c>
    </row>
    <row r="19" spans="13:24" x14ac:dyDescent="0.25">
      <c r="M19" s="17">
        <v>2</v>
      </c>
      <c r="N19" s="69">
        <f t="shared" si="8"/>
        <v>2839.3134</v>
      </c>
      <c r="R19" s="17">
        <v>2</v>
      </c>
      <c r="S19" s="69">
        <f t="shared" si="6"/>
        <v>31.08</v>
      </c>
      <c r="W19" s="17">
        <v>2</v>
      </c>
      <c r="X19" s="69">
        <f t="shared" si="7"/>
        <v>5678.6268</v>
      </c>
    </row>
    <row r="20" spans="13:24" x14ac:dyDescent="0.25">
      <c r="M20" s="17">
        <v>3</v>
      </c>
      <c r="N20" s="69">
        <f t="shared" si="8"/>
        <v>2948.6003000000001</v>
      </c>
      <c r="R20" s="17">
        <v>3</v>
      </c>
      <c r="S20" s="69">
        <f t="shared" si="6"/>
        <v>47.730000000000004</v>
      </c>
      <c r="W20" s="17">
        <v>3</v>
      </c>
      <c r="X20" s="69">
        <f t="shared" si="7"/>
        <v>8845.8009000000002</v>
      </c>
    </row>
    <row r="21" spans="13:24" x14ac:dyDescent="0.25">
      <c r="M21" s="17">
        <v>4</v>
      </c>
      <c r="N21" s="69">
        <f t="shared" si="8"/>
        <v>2978.24</v>
      </c>
      <c r="R21" s="17">
        <v>4</v>
      </c>
      <c r="S21" s="69">
        <f t="shared" si="6"/>
        <v>64</v>
      </c>
      <c r="W21" s="17">
        <v>4</v>
      </c>
      <c r="X21" s="69">
        <f t="shared" si="7"/>
        <v>11912.96</v>
      </c>
    </row>
    <row r="22" spans="13:24" x14ac:dyDescent="0.25">
      <c r="M22" s="17">
        <v>5</v>
      </c>
      <c r="N22" s="69">
        <f t="shared" si="8"/>
        <v>2963.2</v>
      </c>
      <c r="R22" s="17">
        <v>5</v>
      </c>
      <c r="S22" s="69">
        <f t="shared" si="6"/>
        <v>80</v>
      </c>
      <c r="W22" s="17">
        <v>5</v>
      </c>
      <c r="X22" s="69">
        <f t="shared" si="7"/>
        <v>14816</v>
      </c>
    </row>
    <row r="23" spans="13:24" x14ac:dyDescent="0.25">
      <c r="M23" s="17">
        <v>6</v>
      </c>
      <c r="N23" s="69">
        <f t="shared" si="8"/>
        <v>2967.84</v>
      </c>
      <c r="R23" s="17">
        <v>6</v>
      </c>
      <c r="S23" s="69">
        <f t="shared" si="6"/>
        <v>96</v>
      </c>
      <c r="W23" s="17">
        <v>6</v>
      </c>
      <c r="X23" s="69">
        <f t="shared" si="7"/>
        <v>17807.04</v>
      </c>
    </row>
    <row r="24" spans="13:24" x14ac:dyDescent="0.25">
      <c r="M24" s="17">
        <v>7</v>
      </c>
      <c r="N24" s="69">
        <f t="shared" si="8"/>
        <v>2979.52</v>
      </c>
      <c r="R24" s="17">
        <v>7</v>
      </c>
      <c r="S24" s="69">
        <f t="shared" si="6"/>
        <v>112</v>
      </c>
      <c r="W24" s="17">
        <v>7</v>
      </c>
      <c r="X24" s="69">
        <f t="shared" si="7"/>
        <v>20856.64</v>
      </c>
    </row>
    <row r="25" spans="13:24" x14ac:dyDescent="0.25">
      <c r="M25" s="17">
        <v>8</v>
      </c>
      <c r="N25" s="69">
        <f t="shared" si="8"/>
        <v>3007.84</v>
      </c>
      <c r="R25" s="17">
        <v>8</v>
      </c>
      <c r="S25" s="69">
        <f t="shared" si="6"/>
        <v>128</v>
      </c>
      <c r="W25" s="17">
        <v>8</v>
      </c>
      <c r="X25" s="69">
        <f t="shared" si="7"/>
        <v>24062.720000000001</v>
      </c>
    </row>
    <row r="26" spans="13:24" x14ac:dyDescent="0.25">
      <c r="M26" s="17">
        <v>9</v>
      </c>
      <c r="N26" s="69">
        <f t="shared" si="8"/>
        <v>2977.76</v>
      </c>
      <c r="R26" s="17">
        <v>9</v>
      </c>
      <c r="S26" s="69">
        <f t="shared" si="6"/>
        <v>144</v>
      </c>
      <c r="W26" s="17">
        <v>9</v>
      </c>
      <c r="X26" s="69">
        <f t="shared" si="7"/>
        <v>26799.840000000004</v>
      </c>
    </row>
    <row r="27" spans="13:24" x14ac:dyDescent="0.25">
      <c r="M27" s="17">
        <v>10</v>
      </c>
      <c r="N27" s="69">
        <f t="shared" si="8"/>
        <v>3029.12</v>
      </c>
      <c r="R27" s="17">
        <v>10</v>
      </c>
      <c r="S27" s="69">
        <f t="shared" si="6"/>
        <v>160</v>
      </c>
      <c r="W27" s="17">
        <v>10</v>
      </c>
      <c r="X27" s="69">
        <f t="shared" si="7"/>
        <v>30291.199999999997</v>
      </c>
    </row>
    <row r="28" spans="13:24" ht="15.75" thickBot="1" x14ac:dyDescent="0.3">
      <c r="M28" s="19">
        <v>11</v>
      </c>
      <c r="N28" s="70">
        <f t="shared" si="8"/>
        <v>3034.72</v>
      </c>
      <c r="R28" s="19">
        <v>11</v>
      </c>
      <c r="S28" s="70">
        <f t="shared" si="6"/>
        <v>176</v>
      </c>
      <c r="W28" s="19">
        <v>11</v>
      </c>
      <c r="X28" s="70">
        <f t="shared" si="7"/>
        <v>33381.919999999998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41</vt:i4>
      </vt:variant>
    </vt:vector>
  </HeadingPairs>
  <TitlesOfParts>
    <vt:vector size="41" baseType="lpstr">
      <vt:lpstr>Dimensiuni principale</vt:lpstr>
      <vt:lpstr>Abscisele cuplelor, c.p, o.l</vt:lpstr>
      <vt:lpstr>Trasaj</vt:lpstr>
      <vt:lpstr>Linia Puntii</vt:lpstr>
      <vt:lpstr>Extremitatile plutirilor</vt:lpstr>
      <vt:lpstr>WL0</vt:lpstr>
      <vt:lpstr>WL1</vt:lpstr>
      <vt:lpstr>WL2</vt:lpstr>
      <vt:lpstr>WL3</vt:lpstr>
      <vt:lpstr>WL4</vt:lpstr>
      <vt:lpstr>WL5</vt:lpstr>
      <vt:lpstr>WL6</vt:lpstr>
      <vt:lpstr>WL7</vt:lpstr>
      <vt:lpstr>WL8</vt:lpstr>
      <vt:lpstr>WL9</vt:lpstr>
      <vt:lpstr>WL10</vt:lpstr>
      <vt:lpstr>WL11</vt:lpstr>
      <vt:lpstr>Volum</vt:lpstr>
      <vt:lpstr>Centralizator carene drepte</vt:lpstr>
      <vt:lpstr>Cupla0</vt:lpstr>
      <vt:lpstr>Cupla1</vt:lpstr>
      <vt:lpstr>Cupla2</vt:lpstr>
      <vt:lpstr>Cupla3</vt:lpstr>
      <vt:lpstr>Cupla4</vt:lpstr>
      <vt:lpstr>Cupla5</vt:lpstr>
      <vt:lpstr>Cupla6</vt:lpstr>
      <vt:lpstr>Cupla7</vt:lpstr>
      <vt:lpstr>Cupla8</vt:lpstr>
      <vt:lpstr>Cupla9</vt:lpstr>
      <vt:lpstr>Cupla10</vt:lpstr>
      <vt:lpstr>Cupla11</vt:lpstr>
      <vt:lpstr>Cupla12</vt:lpstr>
      <vt:lpstr>Cupla13</vt:lpstr>
      <vt:lpstr>Cupla14</vt:lpstr>
      <vt:lpstr>Cupla15</vt:lpstr>
      <vt:lpstr>Cupla16</vt:lpstr>
      <vt:lpstr>Cupla17</vt:lpstr>
      <vt:lpstr>Cupla18</vt:lpstr>
      <vt:lpstr>Cupla19</vt:lpstr>
      <vt:lpstr>Cupla20</vt:lpstr>
      <vt:lpstr>Coeficienti de finete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</dc:creator>
  <cp:lastModifiedBy>VIO</cp:lastModifiedBy>
  <dcterms:created xsi:type="dcterms:W3CDTF">2021-04-20T15:35:42Z</dcterms:created>
  <dcterms:modified xsi:type="dcterms:W3CDTF">2021-05-31T07:32:38Z</dcterms:modified>
</cp:coreProperties>
</file>